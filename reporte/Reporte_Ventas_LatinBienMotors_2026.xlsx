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Mes" sheetId="2" state="visible" r:id="rId2"/>
    <sheet name="Forma de venta" sheetId="3" state="visible" r:id="rId3"/>
    <sheet name="Dama-Caballero" sheetId="4" state="visible" r:id="rId4"/>
    <sheet name="Edad" sheetId="5" state="visible" r:id="rId5"/>
    <sheet name="Departamento" sheetId="6" state="visible" r:id="rId6"/>
    <sheet name="Actividad" sheetId="7" state="visible" r:id="rId7"/>
    <sheet name="Profesión" sheetId="8" state="visible" r:id="rId8"/>
    <sheet name="Reservado" sheetId="9" state="visible" r:id="rId9"/>
    <sheet name="Detalle Vendid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213E"/>
      <sz val="14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EF2FB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3" fillId="3" borderId="0" pivotButton="0" quotePrefix="0" xfId="0"/>
    <xf numFmtId="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Reporte de Ventas - LatinBienMotors (Honda Mérida) - 2026</t>
        </is>
      </c>
    </row>
    <row r="2">
      <c r="A2" s="2" t="inlineStr">
        <is>
          <t>Fuente: latinbienmotors.com (BD latinbien) - consulta de solo lectura</t>
        </is>
      </c>
    </row>
    <row r="3">
      <c r="A3" s="2" t="inlineStr">
        <is>
          <t>Generado: 2026-10-30 22:55:16</t>
        </is>
      </c>
    </row>
    <row r="5">
      <c r="A5" s="3" t="inlineStr">
        <is>
          <t>Definiciones (iguales a inventariohonda):</t>
        </is>
      </c>
    </row>
    <row r="6">
      <c r="A6" s="2" t="inlineStr">
        <is>
          <t>VENDIDO: pedidos con Status Operativo = 6 (Entregado), mes por fecha de entrega (commitment_date).</t>
        </is>
      </c>
    </row>
    <row r="7">
      <c r="A7" s="2" t="inlineStr">
        <is>
          <t>Unidades = líneas de producto Honda; monto = subtotal SIN IVA.</t>
        </is>
      </c>
    </row>
    <row r="8">
      <c r="A8" s="2" t="inlineStr">
        <is>
          <t>RESERVADO: unidades (VIN) con stock en almacén Reservas (ubicaciones RLBM), al corte.</t>
        </is>
      </c>
    </row>
    <row r="9">
      <c r="A9" s="2" t="inlineStr">
        <is>
          <t>FACTURADO NO ENTREGADO (FNE): facturadas aún en almacén FNE (informativo).</t>
        </is>
      </c>
    </row>
    <row r="10">
      <c r="A10" s="2" t="inlineStr">
        <is>
          <t>FORMA DE VENTA: Contado = cliente con Oportunidad en etapa CRM "Facturado Contado" (etapa 12, 20 leads).</t>
        </is>
      </c>
    </row>
    <row r="11">
      <c r="A11" s="2" t="inlineStr">
        <is>
          <t xml:space="preserve">   Crédito = el resto (facturación retail con plan de plazos SAV). 16 de los 20 contados ya están entregados.</t>
        </is>
      </c>
    </row>
    <row r="12">
      <c r="A12" s="2" t="inlineStr">
        <is>
          <t>Dimensiones de cliente: género (Dama/Caballero), edad (fecha de nacimiento), departamento (state_id),</t>
        </is>
      </c>
    </row>
    <row r="13">
      <c r="A13" s="2" t="inlineStr">
        <is>
          <t>profesión y actividad (ficha del contacto). Datos vacíos = sin registrar en Odoo Motors.</t>
        </is>
      </c>
    </row>
    <row r="14">
      <c r="A14" s="3" t="inlineStr">
        <is>
          <t>Resumen</t>
        </is>
      </c>
    </row>
    <row r="15">
      <c r="A15" s="4" t="inlineStr">
        <is>
          <t>Unidades entregadas 2026</t>
        </is>
      </c>
      <c r="B15" s="5" t="n">
        <v>47</v>
      </c>
    </row>
    <row r="16">
      <c r="A16" s="4" t="inlineStr">
        <is>
          <t>Monto entregado sin IVA ($)</t>
        </is>
      </c>
      <c r="B16" s="6" t="n">
        <v>1513943.01</v>
      </c>
    </row>
    <row r="17">
      <c r="A17" s="4" t="inlineStr">
        <is>
          <t>Pedidos entregados</t>
        </is>
      </c>
      <c r="B17" s="5" t="n">
        <v>47</v>
      </c>
    </row>
    <row r="18">
      <c r="A18" s="4" t="inlineStr">
        <is>
          <t>Reservadas al corte (2026-10-30)</t>
        </is>
      </c>
      <c r="B18" s="5" t="n">
        <v>3</v>
      </c>
    </row>
    <row r="19">
      <c r="A19" s="4" t="inlineStr">
        <is>
          <t>Facturadas no entregadas (FNE)</t>
        </is>
      </c>
      <c r="B19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Vendido por MES (2026) - unidades y monto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2026-03</t>
        </is>
      </c>
      <c r="B4" s="8" t="n">
        <v>3</v>
      </c>
      <c r="C4" s="9" t="n">
        <v>97900</v>
      </c>
      <c r="D4" s="8" t="n">
        <v>3</v>
      </c>
      <c r="E4" s="8" t="n">
        <v>3</v>
      </c>
    </row>
    <row r="5">
      <c r="A5" s="10" t="inlineStr">
        <is>
          <t>2026-04</t>
        </is>
      </c>
      <c r="B5" s="10" t="n">
        <v>3</v>
      </c>
      <c r="C5" s="11" t="n">
        <v>101400</v>
      </c>
      <c r="D5" s="10" t="n">
        <v>3</v>
      </c>
      <c r="E5" s="10" t="n">
        <v>3</v>
      </c>
    </row>
    <row r="6">
      <c r="A6" s="8" t="inlineStr">
        <is>
          <t>2026-05</t>
        </is>
      </c>
      <c r="B6" s="8" t="n">
        <v>4</v>
      </c>
      <c r="C6" s="9" t="n">
        <v>127200</v>
      </c>
      <c r="D6" s="8" t="n">
        <v>4</v>
      </c>
      <c r="E6" s="8" t="n">
        <v>4</v>
      </c>
    </row>
    <row r="7">
      <c r="A7" s="10" t="inlineStr">
        <is>
          <t>2026-06</t>
        </is>
      </c>
      <c r="B7" s="10" t="n">
        <v>9</v>
      </c>
      <c r="C7" s="11" t="n">
        <v>294472</v>
      </c>
      <c r="D7" s="10" t="n">
        <v>9</v>
      </c>
      <c r="E7" s="10" t="n">
        <v>9</v>
      </c>
    </row>
    <row r="8">
      <c r="A8" s="8" t="inlineStr">
        <is>
          <t>2026-07</t>
        </is>
      </c>
      <c r="B8" s="8" t="n">
        <v>11</v>
      </c>
      <c r="C8" s="9" t="n">
        <v>346600</v>
      </c>
      <c r="D8" s="8" t="n">
        <v>11</v>
      </c>
      <c r="E8" s="8" t="n">
        <v>11</v>
      </c>
    </row>
    <row r="9">
      <c r="A9" s="10" t="inlineStr">
        <is>
          <t>2026-08</t>
        </is>
      </c>
      <c r="B9" s="10" t="n">
        <v>14</v>
      </c>
      <c r="C9" s="11" t="n">
        <v>453062</v>
      </c>
      <c r="D9" s="10" t="n">
        <v>14</v>
      </c>
      <c r="E9" s="10" t="n">
        <v>14</v>
      </c>
    </row>
    <row r="10">
      <c r="A10" s="8" t="inlineStr">
        <is>
          <t>2026-09</t>
        </is>
      </c>
      <c r="B10" s="8" t="n">
        <v>3</v>
      </c>
      <c r="C10" s="9" t="n">
        <v>93309.00999999999</v>
      </c>
      <c r="D10" s="8" t="n">
        <v>3</v>
      </c>
      <c r="E10" s="8" t="n">
        <v>3</v>
      </c>
    </row>
    <row r="11">
      <c r="A11" s="12" t="inlineStr">
        <is>
          <t>TOTAL</t>
        </is>
      </c>
      <c r="B11" s="12">
        <f>SUM(B4:B10)</f>
        <v/>
      </c>
      <c r="C11" s="13">
        <f>SUM(C4:C10)</f>
        <v/>
      </c>
      <c r="D11" s="12">
        <f>SUM(D4:D10)</f>
        <v/>
      </c>
      <c r="E11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FORMA DE VENTA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Crédito (SAV)</t>
        </is>
      </c>
      <c r="B4" s="8" t="n">
        <v>30</v>
      </c>
      <c r="C4" s="9" t="n">
        <v>964372</v>
      </c>
      <c r="D4" s="8" t="n">
        <v>30</v>
      </c>
      <c r="E4" s="8" t="n">
        <v>30</v>
      </c>
    </row>
    <row r="5">
      <c r="A5" s="10" t="inlineStr">
        <is>
          <t>Contado</t>
        </is>
      </c>
      <c r="B5" s="10" t="n">
        <v>16</v>
      </c>
      <c r="C5" s="11" t="n">
        <v>513971.01</v>
      </c>
      <c r="D5" s="10" t="n">
        <v>16</v>
      </c>
      <c r="E5" s="10" t="n">
        <v>16</v>
      </c>
    </row>
    <row r="6">
      <c r="A6" s="8" t="inlineStr">
        <is>
          <t>Crédito (sin factura)</t>
        </is>
      </c>
      <c r="B6" s="8" t="n">
        <v>1</v>
      </c>
      <c r="C6" s="9" t="n">
        <v>35600</v>
      </c>
      <c r="D6" s="8" t="n">
        <v>1</v>
      </c>
      <c r="E6" s="8" t="n">
        <v>1</v>
      </c>
    </row>
    <row r="7">
      <c r="A7" s="12" t="inlineStr">
        <is>
          <t>TOTAL</t>
        </is>
      </c>
      <c r="B7" s="12">
        <f>SUM(B4:B6)</f>
        <v/>
      </c>
      <c r="C7" s="13">
        <f>SUM(C4:C6)</f>
        <v/>
      </c>
      <c r="D7" s="12">
        <f>SUM(D4:D6)</f>
        <v/>
      </c>
      <c r="E7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GÉNERO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Caballero</t>
        </is>
      </c>
      <c r="B4" s="8" t="n">
        <v>27</v>
      </c>
      <c r="C4" s="9" t="n">
        <v>882443.01</v>
      </c>
      <c r="D4" s="8" t="n">
        <v>27</v>
      </c>
      <c r="E4" s="8" t="n">
        <v>27</v>
      </c>
    </row>
    <row r="5">
      <c r="A5" s="10" t="inlineStr">
        <is>
          <t>Dama</t>
        </is>
      </c>
      <c r="B5" s="10" t="n">
        <v>20</v>
      </c>
      <c r="C5" s="11" t="n">
        <v>631500</v>
      </c>
      <c r="D5" s="10" t="n">
        <v>20</v>
      </c>
      <c r="E5" s="10" t="n">
        <v>20</v>
      </c>
    </row>
    <row r="6">
      <c r="A6" s="12" t="inlineStr">
        <is>
          <t>TOTAL</t>
        </is>
      </c>
      <c r="B6" s="12">
        <f>SUM(B4:B5)</f>
        <v/>
      </c>
      <c r="C6" s="13">
        <f>SUM(C4:C5)</f>
        <v/>
      </c>
      <c r="D6" s="12">
        <f>SUM(D4:D5)</f>
        <v/>
      </c>
      <c r="E6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EDAD (rangos)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35-44</t>
        </is>
      </c>
      <c r="B4" s="8" t="n">
        <v>12</v>
      </c>
      <c r="C4" s="9" t="n">
        <v>383600</v>
      </c>
      <c r="D4" s="8" t="n">
        <v>12</v>
      </c>
      <c r="E4" s="8" t="n">
        <v>12</v>
      </c>
    </row>
    <row r="5">
      <c r="A5" s="10" t="inlineStr">
        <is>
          <t>45-54</t>
        </is>
      </c>
      <c r="B5" s="10" t="n">
        <v>9</v>
      </c>
      <c r="C5" s="11" t="n">
        <v>280400</v>
      </c>
      <c r="D5" s="10" t="n">
        <v>9</v>
      </c>
      <c r="E5" s="10" t="n">
        <v>9</v>
      </c>
    </row>
    <row r="6">
      <c r="A6" s="8" t="inlineStr">
        <is>
          <t>25-34</t>
        </is>
      </c>
      <c r="B6" s="8" t="n">
        <v>8</v>
      </c>
      <c r="C6" s="9" t="n">
        <v>266876.3</v>
      </c>
      <c r="D6" s="8" t="n">
        <v>8</v>
      </c>
      <c r="E6" s="8" t="n">
        <v>8</v>
      </c>
    </row>
    <row r="7">
      <c r="A7" s="10" t="inlineStr">
        <is>
          <t>55-64</t>
        </is>
      </c>
      <c r="B7" s="10" t="n">
        <v>7</v>
      </c>
      <c r="C7" s="11" t="n">
        <v>225600</v>
      </c>
      <c r="D7" s="10" t="n">
        <v>7</v>
      </c>
      <c r="E7" s="10" t="n">
        <v>7</v>
      </c>
    </row>
    <row r="8">
      <c r="A8" s="8" t="inlineStr">
        <is>
          <t>65+</t>
        </is>
      </c>
      <c r="B8" s="8" t="n">
        <v>7</v>
      </c>
      <c r="C8" s="9" t="n">
        <v>224866.71</v>
      </c>
      <c r="D8" s="8" t="n">
        <v>7</v>
      </c>
      <c r="E8" s="8" t="n">
        <v>7</v>
      </c>
    </row>
    <row r="9">
      <c r="A9" s="10" t="inlineStr">
        <is>
          <t>Sin dato</t>
        </is>
      </c>
      <c r="B9" s="10" t="n">
        <v>4</v>
      </c>
      <c r="C9" s="11" t="n">
        <v>132600</v>
      </c>
      <c r="D9" s="10" t="n">
        <v>4</v>
      </c>
      <c r="E9" s="10" t="n">
        <v>4</v>
      </c>
    </row>
    <row r="10">
      <c r="A10" s="12" t="inlineStr">
        <is>
          <t>TOTAL</t>
        </is>
      </c>
      <c r="B10" s="12">
        <f>SUM(B4:B9)</f>
        <v/>
      </c>
      <c r="C10" s="13">
        <f>SUM(C4:C9)</f>
        <v/>
      </c>
      <c r="D10" s="12">
        <f>SUM(D4:D9)</f>
        <v/>
      </c>
      <c r="E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ESTADO / DEPARTAMENTO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MERIDA (VE)</t>
        </is>
      </c>
      <c r="B4" s="8" t="n">
        <v>33</v>
      </c>
      <c r="C4" s="9" t="n">
        <v>1057843.01</v>
      </c>
      <c r="D4" s="8" t="n">
        <v>33</v>
      </c>
      <c r="E4" s="8" t="n">
        <v>33</v>
      </c>
    </row>
    <row r="5">
      <c r="A5" s="10" t="inlineStr">
        <is>
          <t>(sin registrar)</t>
        </is>
      </c>
      <c r="B5" s="10" t="n">
        <v>6</v>
      </c>
      <c r="C5" s="11" t="n">
        <v>192400</v>
      </c>
      <c r="D5" s="10" t="n">
        <v>6</v>
      </c>
      <c r="E5" s="10" t="n">
        <v>6</v>
      </c>
    </row>
    <row r="6">
      <c r="A6" s="8" t="inlineStr">
        <is>
          <t>TACHIRA (VE)</t>
        </is>
      </c>
      <c r="B6" s="8" t="n">
        <v>3</v>
      </c>
      <c r="C6" s="9" t="n">
        <v>99400</v>
      </c>
      <c r="D6" s="8" t="n">
        <v>3</v>
      </c>
      <c r="E6" s="8" t="n">
        <v>3</v>
      </c>
    </row>
    <row r="7">
      <c r="A7" s="10" t="inlineStr">
        <is>
          <t>ZULIA (VE)</t>
        </is>
      </c>
      <c r="B7" s="10" t="n">
        <v>2</v>
      </c>
      <c r="C7" s="11" t="n">
        <v>67500</v>
      </c>
      <c r="D7" s="10" t="n">
        <v>2</v>
      </c>
      <c r="E7" s="10" t="n">
        <v>2</v>
      </c>
    </row>
    <row r="8">
      <c r="A8" s="8" t="inlineStr">
        <is>
          <t>BARINAS (VE)</t>
        </is>
      </c>
      <c r="B8" s="8" t="n">
        <v>1</v>
      </c>
      <c r="C8" s="9" t="n">
        <v>34200</v>
      </c>
      <c r="D8" s="8" t="n">
        <v>1</v>
      </c>
      <c r="E8" s="8" t="n">
        <v>1</v>
      </c>
    </row>
    <row r="9">
      <c r="A9" s="10" t="inlineStr">
        <is>
          <t>TRUJILLO (VE)</t>
        </is>
      </c>
      <c r="B9" s="10" t="n">
        <v>1</v>
      </c>
      <c r="C9" s="11" t="n">
        <v>31900</v>
      </c>
      <c r="D9" s="10" t="n">
        <v>1</v>
      </c>
      <c r="E9" s="10" t="n">
        <v>1</v>
      </c>
    </row>
    <row r="10">
      <c r="A10" s="8" t="inlineStr">
        <is>
          <t>MIRANDA (VE)</t>
        </is>
      </c>
      <c r="B10" s="8" t="n">
        <v>1</v>
      </c>
      <c r="C10" s="9" t="n">
        <v>30700</v>
      </c>
      <c r="D10" s="8" t="n">
        <v>1</v>
      </c>
      <c r="E10" s="8" t="n">
        <v>1</v>
      </c>
    </row>
    <row r="11">
      <c r="A11" s="12" t="inlineStr">
        <is>
          <t>TOTAL</t>
        </is>
      </c>
      <c r="B11" s="12">
        <f>SUM(B4:B10)</f>
        <v/>
      </c>
      <c r="C11" s="13">
        <f>SUM(C4:C10)</f>
        <v/>
      </c>
      <c r="D11" s="12">
        <f>SUM(D4:D10)</f>
        <v/>
      </c>
      <c r="E11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ACTIVIDAD del cliente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Bajo dependencia</t>
        </is>
      </c>
      <c r="B4" s="8" t="n">
        <v>35</v>
      </c>
      <c r="C4" s="9" t="n">
        <v>1117771.01</v>
      </c>
      <c r="D4" s="8" t="n">
        <v>35</v>
      </c>
      <c r="E4" s="8" t="n">
        <v>35</v>
      </c>
    </row>
    <row r="5">
      <c r="A5" s="10" t="inlineStr">
        <is>
          <t>Independiente formal</t>
        </is>
      </c>
      <c r="B5" s="10" t="n">
        <v>10</v>
      </c>
      <c r="C5" s="11" t="n">
        <v>328672</v>
      </c>
      <c r="D5" s="10" t="n">
        <v>10</v>
      </c>
      <c r="E5" s="10" t="n">
        <v>10</v>
      </c>
    </row>
    <row r="6">
      <c r="A6" s="8" t="inlineStr">
        <is>
          <t>Independiente</t>
        </is>
      </c>
      <c r="B6" s="8" t="n">
        <v>1</v>
      </c>
      <c r="C6" s="9" t="n">
        <v>35600</v>
      </c>
      <c r="D6" s="8" t="n">
        <v>1</v>
      </c>
      <c r="E6" s="8" t="n">
        <v>1</v>
      </c>
    </row>
    <row r="7">
      <c r="A7" s="10" t="inlineStr">
        <is>
          <t>Dependiente sector privado</t>
        </is>
      </c>
      <c r="B7" s="10" t="n">
        <v>1</v>
      </c>
      <c r="C7" s="11" t="n">
        <v>31900</v>
      </c>
      <c r="D7" s="10" t="n">
        <v>1</v>
      </c>
      <c r="E7" s="10" t="n">
        <v>1</v>
      </c>
    </row>
    <row r="8">
      <c r="A8" s="12" t="inlineStr">
        <is>
          <t>TOTAL</t>
        </is>
      </c>
      <c r="B8" s="12">
        <f>SUM(B4:B7)</f>
        <v/>
      </c>
      <c r="C8" s="13">
        <f>SUM(C4:C7)</f>
        <v/>
      </c>
      <c r="D8" s="12">
        <f>SUM(D4:D7)</f>
        <v/>
      </c>
      <c r="E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1" customWidth="1" min="4" max="4"/>
    <col width="11" customWidth="1" min="5" max="5"/>
  </cols>
  <sheetData>
    <row r="1">
      <c r="A1" s="1" t="inlineStr">
        <is>
          <t>Por PROFESIÓN declarada</t>
        </is>
      </c>
    </row>
    <row r="2">
      <c r="A2" s="1" t="n"/>
    </row>
    <row r="3">
      <c r="A3" s="7" t="inlineStr">
        <is>
          <t>Dimensión</t>
        </is>
      </c>
      <c r="B3" s="7" t="inlineStr">
        <is>
          <t>Unidades</t>
        </is>
      </c>
      <c r="C3" s="7" t="inlineStr">
        <is>
          <t>Monto sin IVA ($)</t>
        </is>
      </c>
      <c r="D3" s="7" t="inlineStr">
        <is>
          <t>Pedidos</t>
        </is>
      </c>
      <c r="E3" s="7" t="inlineStr">
        <is>
          <t>Clientes</t>
        </is>
      </c>
    </row>
    <row r="4">
      <c r="A4" s="8" t="inlineStr">
        <is>
          <t>(sin registrar)</t>
        </is>
      </c>
      <c r="B4" s="8" t="n">
        <v>25</v>
      </c>
      <c r="C4" s="9" t="n">
        <v>808266.3</v>
      </c>
      <c r="D4" s="8" t="n">
        <v>25</v>
      </c>
      <c r="E4" s="8" t="n">
        <v>25</v>
      </c>
    </row>
    <row r="5">
      <c r="A5" s="10" t="inlineStr">
        <is>
          <t>COMERCIANTE</t>
        </is>
      </c>
      <c r="B5" s="10" t="n">
        <v>7</v>
      </c>
      <c r="C5" s="11" t="n">
        <v>226600</v>
      </c>
      <c r="D5" s="10" t="n">
        <v>7</v>
      </c>
      <c r="E5" s="10" t="n">
        <v>7</v>
      </c>
    </row>
    <row r="6">
      <c r="A6" s="8" t="inlineStr">
        <is>
          <t>CONTADOR</t>
        </is>
      </c>
      <c r="B6" s="8" t="n">
        <v>2</v>
      </c>
      <c r="C6" s="9" t="n">
        <v>73872</v>
      </c>
      <c r="D6" s="8" t="n">
        <v>2</v>
      </c>
      <c r="E6" s="8" t="n">
        <v>2</v>
      </c>
    </row>
    <row r="7">
      <c r="A7" s="10" t="inlineStr">
        <is>
          <t>TRANSPORTISTA Y COMERCIANTE</t>
        </is>
      </c>
      <c r="B7" s="10" t="n">
        <v>1</v>
      </c>
      <c r="C7" s="11" t="n">
        <v>35600</v>
      </c>
      <c r="D7" s="10" t="n">
        <v>1</v>
      </c>
      <c r="E7" s="10" t="n">
        <v>1</v>
      </c>
    </row>
    <row r="8">
      <c r="A8" s="8" t="inlineStr">
        <is>
          <t>INGENIERO</t>
        </is>
      </c>
      <c r="B8" s="8" t="n">
        <v>1</v>
      </c>
      <c r="C8" s="9" t="n">
        <v>34200</v>
      </c>
      <c r="D8" s="8" t="n">
        <v>1</v>
      </c>
      <c r="E8" s="8" t="n">
        <v>1</v>
      </c>
    </row>
    <row r="9">
      <c r="A9" s="10" t="inlineStr">
        <is>
          <t>ADMINISTRADOR</t>
        </is>
      </c>
      <c r="B9" s="10" t="n">
        <v>1</v>
      </c>
      <c r="C9" s="11" t="n">
        <v>33600</v>
      </c>
      <c r="D9" s="10" t="n">
        <v>1</v>
      </c>
      <c r="E9" s="10" t="n">
        <v>1</v>
      </c>
    </row>
    <row r="10">
      <c r="A10" s="8" t="inlineStr">
        <is>
          <t>ADMINITRADOR</t>
        </is>
      </c>
      <c r="B10" s="8" t="n">
        <v>1</v>
      </c>
      <c r="C10" s="9" t="n">
        <v>31900</v>
      </c>
      <c r="D10" s="8" t="n">
        <v>1</v>
      </c>
      <c r="E10" s="8" t="n">
        <v>1</v>
      </c>
    </row>
    <row r="11">
      <c r="A11" s="10" t="inlineStr">
        <is>
          <t>INGENIERO MECANICO</t>
        </is>
      </c>
      <c r="B11" s="10" t="n">
        <v>1</v>
      </c>
      <c r="C11" s="11" t="n">
        <v>31900</v>
      </c>
      <c r="D11" s="10" t="n">
        <v>1</v>
      </c>
      <c r="E11" s="10" t="n">
        <v>1</v>
      </c>
    </row>
    <row r="12">
      <c r="A12" s="8" t="inlineStr">
        <is>
          <t>LCDO EN TECNOLOGIA</t>
        </is>
      </c>
      <c r="B12" s="8" t="n">
        <v>1</v>
      </c>
      <c r="C12" s="9" t="n">
        <v>31900</v>
      </c>
      <c r="D12" s="8" t="n">
        <v>1</v>
      </c>
      <c r="E12" s="8" t="n">
        <v>1</v>
      </c>
    </row>
    <row r="13">
      <c r="A13" s="10" t="inlineStr">
        <is>
          <t>ABOGADO/ CONTADOR</t>
        </is>
      </c>
      <c r="B13" s="10" t="n">
        <v>1</v>
      </c>
      <c r="C13" s="11" t="n">
        <v>31900</v>
      </c>
      <c r="D13" s="10" t="n">
        <v>1</v>
      </c>
      <c r="E13" s="10" t="n">
        <v>1</v>
      </c>
    </row>
    <row r="14">
      <c r="A14" s="8" t="inlineStr">
        <is>
          <t>MEDICO CARDIOLOGO</t>
        </is>
      </c>
      <c r="B14" s="8" t="n">
        <v>1</v>
      </c>
      <c r="C14" s="9" t="n">
        <v>31900</v>
      </c>
      <c r="D14" s="8" t="n">
        <v>1</v>
      </c>
      <c r="E14" s="8" t="n">
        <v>1</v>
      </c>
    </row>
    <row r="15">
      <c r="A15" s="10" t="inlineStr">
        <is>
          <t>MEDICO</t>
        </is>
      </c>
      <c r="B15" s="10" t="n">
        <v>1</v>
      </c>
      <c r="C15" s="11" t="n">
        <v>30704.71</v>
      </c>
      <c r="D15" s="10" t="n">
        <v>1</v>
      </c>
      <c r="E15" s="10" t="n">
        <v>1</v>
      </c>
    </row>
    <row r="16">
      <c r="A16" s="8" t="inlineStr">
        <is>
          <t>LOCUTORA</t>
        </is>
      </c>
      <c r="B16" s="8" t="n">
        <v>1</v>
      </c>
      <c r="C16" s="9" t="n">
        <v>27900</v>
      </c>
      <c r="D16" s="8" t="n">
        <v>1</v>
      </c>
      <c r="E16" s="8" t="n">
        <v>1</v>
      </c>
    </row>
    <row r="17">
      <c r="A17" s="10" t="inlineStr">
        <is>
          <t>T S U ADMINISTRACION DE EMPRESA</t>
        </is>
      </c>
      <c r="B17" s="10" t="n">
        <v>1</v>
      </c>
      <c r="C17" s="11" t="n">
        <v>27900</v>
      </c>
      <c r="D17" s="10" t="n">
        <v>1</v>
      </c>
      <c r="E17" s="10" t="n">
        <v>1</v>
      </c>
    </row>
    <row r="18">
      <c r="A18" s="8" t="inlineStr">
        <is>
          <t>GERENTE ADMINISTRATIVO</t>
        </is>
      </c>
      <c r="B18" s="8" t="n">
        <v>1</v>
      </c>
      <c r="C18" s="9" t="n">
        <v>27900</v>
      </c>
      <c r="D18" s="8" t="n">
        <v>1</v>
      </c>
      <c r="E18" s="8" t="n">
        <v>1</v>
      </c>
    </row>
    <row r="19">
      <c r="A19" s="10" t="inlineStr">
        <is>
          <t>MEDICINA EN GENERAL</t>
        </is>
      </c>
      <c r="B19" s="10" t="n">
        <v>1</v>
      </c>
      <c r="C19" s="11" t="n">
        <v>27900</v>
      </c>
      <c r="D19" s="10" t="n">
        <v>1</v>
      </c>
      <c r="E19" s="10" t="n">
        <v>1</v>
      </c>
    </row>
    <row r="20">
      <c r="A20" s="12" t="inlineStr">
        <is>
          <t>TOTAL</t>
        </is>
      </c>
      <c r="B20" s="12">
        <f>SUM(B4:B19)</f>
        <v/>
      </c>
      <c r="C20" s="13">
        <f>SUM(C4:C19)</f>
        <v/>
      </c>
      <c r="D20" s="12">
        <f>SUM(D4:D19)</f>
        <v/>
      </c>
      <c r="E2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  <col width="12" customWidth="1" min="4" max="4"/>
    <col width="9" customWidth="1" min="5" max="5"/>
    <col width="16" customWidth="1" min="6" max="6"/>
    <col width="24" customWidth="1" min="7" max="7"/>
    <col width="26" customWidth="1" min="8" max="8"/>
  </cols>
  <sheetData>
    <row r="1">
      <c r="A1" s="1" t="inlineStr">
        <is>
          <t>RESERVADO al corte 2026-10-30 (almacén Reservas RLBM)</t>
        </is>
      </c>
    </row>
    <row r="2">
      <c r="A2" s="1" t="n"/>
    </row>
    <row r="3">
      <c r="A3" s="7" t="inlineStr">
        <is>
          <t>VIN</t>
        </is>
      </c>
      <c r="B3" s="7" t="inlineStr">
        <is>
          <t>Modelo</t>
        </is>
      </c>
      <c r="C3" s="7" t="inlineStr">
        <is>
          <t>Cliente</t>
        </is>
      </c>
      <c r="D3" s="7" t="inlineStr">
        <is>
          <t>Género</t>
        </is>
      </c>
      <c r="E3" s="7" t="inlineStr">
        <is>
          <t>Edad</t>
        </is>
      </c>
      <c r="F3" s="7" t="inlineStr">
        <is>
          <t>Departamento</t>
        </is>
      </c>
      <c r="G3" s="7" t="inlineStr">
        <is>
          <t>Profesión</t>
        </is>
      </c>
      <c r="H3" s="7" t="inlineStr">
        <is>
          <t>Actividad</t>
        </is>
      </c>
    </row>
    <row r="4">
      <c r="A4" s="8" t="inlineStr">
        <is>
          <t>93HDG584XVK601297</t>
        </is>
      </c>
      <c r="B4" s="8" t="inlineStr">
        <is>
          <t>HONDA WR-V 1.5L A/T EXL 2027 (Azul Cosmico)</t>
        </is>
      </c>
      <c r="C4" s="8" t="inlineStr">
        <is>
          <t>SAMUEL ANTONIO TORRES BRICEÑO</t>
        </is>
      </c>
      <c r="D4" s="8" t="inlineStr">
        <is>
          <t>Caballero</t>
        </is>
      </c>
      <c r="E4" s="8" t="inlineStr">
        <is>
          <t>(sin dato)</t>
        </is>
      </c>
      <c r="F4" s="8" t="inlineStr">
        <is>
          <t>(sin registrar)</t>
        </is>
      </c>
      <c r="G4" s="8" t="inlineStr">
        <is>
          <t>(sin registrar)</t>
        </is>
      </c>
      <c r="H4" s="8" t="inlineStr">
        <is>
          <t>Bajo dependencia</t>
        </is>
      </c>
    </row>
    <row r="5">
      <c r="A5" s="10" t="inlineStr">
        <is>
          <t>93HRV3860VK400171</t>
        </is>
      </c>
      <c r="B5" s="10" t="inlineStr">
        <is>
          <t>HONDA HR-V 1.5L A/T EXL 2027 (gris titan)</t>
        </is>
      </c>
      <c r="C5" s="10" t="inlineStr">
        <is>
          <t>OSWALDO CARRILLO</t>
        </is>
      </c>
      <c r="D5" s="10" t="inlineStr">
        <is>
          <t>Caballero</t>
        </is>
      </c>
      <c r="E5" s="10" t="inlineStr">
        <is>
          <t>(sin dato)</t>
        </is>
      </c>
      <c r="F5" s="10" t="inlineStr">
        <is>
          <t>(sin registrar)</t>
        </is>
      </c>
      <c r="G5" s="10" t="inlineStr">
        <is>
          <t>(sin registrar)</t>
        </is>
      </c>
      <c r="H5" s="10" t="inlineStr">
        <is>
          <t>Bajo dependencia</t>
        </is>
      </c>
    </row>
    <row r="6">
      <c r="A6" s="8" t="inlineStr">
        <is>
          <t>93HRV3820TK303183</t>
        </is>
      </c>
      <c r="B6" s="8" t="inlineStr">
        <is>
          <t>HONDA HR-V 1.5L A/T LX 2027</t>
        </is>
      </c>
      <c r="C6" s="8" t="inlineStr">
        <is>
          <t>GINA ANTONIETTA NEGRO PIELANTONIO</t>
        </is>
      </c>
      <c r="D6" s="8" t="inlineStr">
        <is>
          <t>Caballero</t>
        </is>
      </c>
      <c r="E6" s="8" t="inlineStr">
        <is>
          <t>(sin dato)</t>
        </is>
      </c>
      <c r="F6" s="8" t="inlineStr">
        <is>
          <t>(sin registrar)</t>
        </is>
      </c>
      <c r="G6" s="8" t="inlineStr">
        <is>
          <t>(sin registrar)</t>
        </is>
      </c>
      <c r="H6" s="8" t="inlineStr">
        <is>
          <t>Bajo dependencia</t>
        </is>
      </c>
    </row>
    <row r="7">
      <c r="A7" s="3" t="inlineStr">
        <is>
          <t>TOTAL unidades reservadas</t>
        </is>
      </c>
      <c r="B7" s="3">
        <f>SUM(B4:B6)</f>
        <v/>
      </c>
    </row>
    <row r="12">
      <c r="A12" s="1" t="inlineStr">
        <is>
          <t>FACTURADO NO ENTREGADO (FNE), informativo:</t>
        </is>
      </c>
    </row>
    <row r="13">
      <c r="A13" s="7" t="inlineStr">
        <is>
          <t>Modelo</t>
        </is>
      </c>
      <c r="B13" s="7" t="inlineStr">
        <is>
          <t>Unidades</t>
        </is>
      </c>
    </row>
    <row r="14">
      <c r="A14" s="8" t="inlineStr">
        <is>
          <t>HONDA HR-V 1.5L A/T EXL 2027 (Rojo Metalico)</t>
        </is>
      </c>
      <c r="B14" s="8" t="n">
        <v>1</v>
      </c>
    </row>
    <row r="15">
      <c r="A15" s="10" t="inlineStr">
        <is>
          <t>HONDA WR-V 1.5L A/T EXL 2027 (Blanco)</t>
        </is>
      </c>
      <c r="B15" s="10" t="n">
        <v>1</v>
      </c>
    </row>
    <row r="16">
      <c r="A16" s="8" t="inlineStr">
        <is>
          <t>HONDA WR-V 1.5L A/T EXL 2027 (Blanco)</t>
        </is>
      </c>
      <c r="B16" s="8" t="n">
        <v>1</v>
      </c>
    </row>
    <row r="17">
      <c r="A17" s="10" t="inlineStr">
        <is>
          <t>HONDA WR-V 1.5L A/T EXL 2027 (Blanco)</t>
        </is>
      </c>
      <c r="B17" s="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34" customWidth="1" min="4" max="4"/>
    <col width="40" customWidth="1" min="5" max="5"/>
    <col width="7" customWidth="1" min="6" max="6"/>
    <col width="18" customWidth="1" min="7" max="7"/>
    <col width="18" customWidth="1" min="8" max="8"/>
    <col width="24" customWidth="1" min="9" max="9"/>
    <col width="12" customWidth="1" min="10" max="10"/>
    <col width="9" customWidth="1" min="11" max="11"/>
    <col width="16" customWidth="1" min="12" max="12"/>
    <col width="22" customWidth="1" min="13" max="13"/>
    <col width="24" customWidth="1" min="14" max="14"/>
  </cols>
  <sheetData>
    <row r="1">
      <c r="A1" s="1" t="inlineStr">
        <is>
          <t>Detalle vendido 2026 (una fila por unidad Honda)</t>
        </is>
      </c>
    </row>
    <row r="2">
      <c r="A2" s="1" t="n"/>
    </row>
    <row r="3">
      <c r="A3" s="7" t="inlineStr">
        <is>
          <t>Mes</t>
        </is>
      </c>
      <c r="B3" s="7" t="inlineStr">
        <is>
          <t>Fecha entrega</t>
        </is>
      </c>
      <c r="C3" s="7" t="inlineStr">
        <is>
          <t>Pedido</t>
        </is>
      </c>
      <c r="D3" s="7" t="inlineStr">
        <is>
          <t>Cliente</t>
        </is>
      </c>
      <c r="E3" s="7" t="inlineStr">
        <is>
          <t>Modelo</t>
        </is>
      </c>
      <c r="F3" s="7" t="inlineStr">
        <is>
          <t>Unid.</t>
        </is>
      </c>
      <c r="G3" s="7" t="inlineStr">
        <is>
          <t>Monto sin IVA ($)</t>
        </is>
      </c>
      <c r="H3" s="7" t="inlineStr">
        <is>
          <t>Forma de venta</t>
        </is>
      </c>
      <c r="I3" s="7" t="inlineStr">
        <is>
          <t>Ejecutivo</t>
        </is>
      </c>
      <c r="J3" s="7" t="inlineStr">
        <is>
          <t>Género</t>
        </is>
      </c>
      <c r="K3" s="7" t="inlineStr">
        <is>
          <t>Edad</t>
        </is>
      </c>
      <c r="L3" s="7" t="inlineStr">
        <is>
          <t>Departamento</t>
        </is>
      </c>
      <c r="M3" s="7" t="inlineStr">
        <is>
          <t>Profesión</t>
        </is>
      </c>
      <c r="N3" s="7" t="inlineStr">
        <is>
          <t>Actividad</t>
        </is>
      </c>
    </row>
    <row r="4">
      <c r="A4" s="8" t="inlineStr">
        <is>
          <t>2026-03</t>
        </is>
      </c>
      <c r="B4" s="8" t="inlineStr">
        <is>
          <t>2026-03-26</t>
        </is>
      </c>
      <c r="C4" s="8" t="inlineStr">
        <is>
          <t>LBM-ORDEN-00002</t>
        </is>
      </c>
      <c r="D4" s="8" t="inlineStr">
        <is>
          <t>ROSAURA MARQUEZ CARRERO</t>
        </is>
      </c>
      <c r="E4" s="8" t="inlineStr">
        <is>
          <t>[HR-VEXL26-NH830M] HONDA HR-V 1.5L A/T EXL 2026 (Plata Metalico)</t>
        </is>
      </c>
      <c r="F4" s="8" t="n">
        <v>1</v>
      </c>
      <c r="G4" s="9" t="n">
        <v>30700</v>
      </c>
      <c r="H4" s="8" t="inlineStr">
        <is>
          <t>Contado</t>
        </is>
      </c>
      <c r="I4" s="8" t="inlineStr">
        <is>
          <t>EDGARDO REINOZO</t>
        </is>
      </c>
      <c r="J4" s="8" t="inlineStr">
        <is>
          <t>Dama</t>
        </is>
      </c>
      <c r="K4" s="8" t="n">
        <v>39</v>
      </c>
      <c r="L4" s="8" t="inlineStr">
        <is>
          <t>MIRANDA (VE)</t>
        </is>
      </c>
      <c r="M4" s="8" t="inlineStr">
        <is>
          <t>(sin registrar)</t>
        </is>
      </c>
      <c r="N4" s="8" t="inlineStr">
        <is>
          <t>Bajo dependencia</t>
        </is>
      </c>
    </row>
    <row r="5">
      <c r="A5" s="10" t="inlineStr">
        <is>
          <t>2026-03</t>
        </is>
      </c>
      <c r="B5" s="10" t="inlineStr">
        <is>
          <t>2026-03-26</t>
        </is>
      </c>
      <c r="C5" s="10" t="inlineStr">
        <is>
          <t>LBM-ORDEN-00003</t>
        </is>
      </c>
      <c r="D5" s="10" t="inlineStr">
        <is>
          <t>LUCILA CASTILLO DE GONZALEZ</t>
        </is>
      </c>
      <c r="E5" s="10" t="inlineStr">
        <is>
          <t>[HR-VEXL26-NH731P] HONDA HR-V 1.5L A/T EXL 2026 (Negro Metalico)</t>
        </is>
      </c>
      <c r="F5" s="10" t="n">
        <v>1</v>
      </c>
      <c r="G5" s="11" t="n">
        <v>33600</v>
      </c>
      <c r="H5" s="10" t="inlineStr">
        <is>
          <t>Contado</t>
        </is>
      </c>
      <c r="I5" s="10" t="inlineStr">
        <is>
          <t>M  GIBSON</t>
        </is>
      </c>
      <c r="J5" s="10" t="inlineStr">
        <is>
          <t>Dama</t>
        </is>
      </c>
      <c r="K5" s="10" t="n">
        <v>75</v>
      </c>
      <c r="L5" s="10" t="inlineStr">
        <is>
          <t>MERIDA (VE)</t>
        </is>
      </c>
      <c r="M5" s="10" t="inlineStr">
        <is>
          <t>(sin registrar)</t>
        </is>
      </c>
      <c r="N5" s="10" t="inlineStr">
        <is>
          <t>Bajo dependencia</t>
        </is>
      </c>
    </row>
    <row r="6">
      <c r="A6" s="8" t="inlineStr">
        <is>
          <t>2026-03</t>
        </is>
      </c>
      <c r="B6" s="8" t="inlineStr">
        <is>
          <t>2026-03-31</t>
        </is>
      </c>
      <c r="C6" s="8" t="inlineStr">
        <is>
          <t>LBM-ORDEN-00006</t>
        </is>
      </c>
      <c r="D6" s="8" t="inlineStr">
        <is>
          <t>AURA ELENA PEREZ</t>
        </is>
      </c>
      <c r="E6" s="8" t="inlineStr">
        <is>
          <t>[HR-VEXL26-B607M] HONDA HR-V 1.5L A/T EXL 2026 (Azul Cosmico)</t>
        </is>
      </c>
      <c r="F6" s="8" t="n">
        <v>1</v>
      </c>
      <c r="G6" s="9" t="n">
        <v>33600</v>
      </c>
      <c r="H6" s="8" t="inlineStr">
        <is>
          <t>Contado</t>
        </is>
      </c>
      <c r="I6" s="8" t="inlineStr">
        <is>
          <t>M  GIBSON</t>
        </is>
      </c>
      <c r="J6" s="8" t="inlineStr">
        <is>
          <t>Dama</t>
        </is>
      </c>
      <c r="K6" s="8" t="n">
        <v>65</v>
      </c>
      <c r="L6" s="8" t="inlineStr">
        <is>
          <t>MERIDA (VE)</t>
        </is>
      </c>
      <c r="M6" s="8" t="inlineStr">
        <is>
          <t>(sin registrar)</t>
        </is>
      </c>
      <c r="N6" s="8" t="inlineStr">
        <is>
          <t>Bajo dependencia</t>
        </is>
      </c>
    </row>
    <row r="7">
      <c r="A7" s="10" t="inlineStr">
        <is>
          <t>2026-04</t>
        </is>
      </c>
      <c r="B7" s="10" t="inlineStr">
        <is>
          <t>2026-04-14</t>
        </is>
      </c>
      <c r="C7" s="10" t="inlineStr">
        <is>
          <t>LBM-ORDEN-00004</t>
        </is>
      </c>
      <c r="D7" s="10" t="inlineStr">
        <is>
          <t>JAIR DANIEL MARTINEZ VALERO</t>
        </is>
      </c>
      <c r="E7" s="10" t="inlineStr">
        <is>
          <t>[HR-VLX26-NH830M] HONDA HR-V 1.5L A/T LX 2026 (Plata Metalico)</t>
        </is>
      </c>
      <c r="F7" s="10" t="n">
        <v>1</v>
      </c>
      <c r="G7" s="11" t="n">
        <v>33600</v>
      </c>
      <c r="H7" s="10" t="inlineStr">
        <is>
          <t>Contado</t>
        </is>
      </c>
      <c r="I7" s="10" t="inlineStr">
        <is>
          <t>M  GIBSON</t>
        </is>
      </c>
      <c r="J7" s="10" t="inlineStr">
        <is>
          <t>Caballero</t>
        </is>
      </c>
      <c r="K7" s="10" t="n">
        <v>26</v>
      </c>
      <c r="L7" s="10" t="inlineStr">
        <is>
          <t>MERIDA (VE)</t>
        </is>
      </c>
      <c r="M7" s="10" t="inlineStr">
        <is>
          <t>(sin registrar)</t>
        </is>
      </c>
      <c r="N7" s="10" t="inlineStr">
        <is>
          <t>Bajo dependencia</t>
        </is>
      </c>
    </row>
    <row r="8">
      <c r="A8" s="8" t="inlineStr">
        <is>
          <t>2026-04</t>
        </is>
      </c>
      <c r="B8" s="8" t="inlineStr">
        <is>
          <t>2026-04-16</t>
        </is>
      </c>
      <c r="C8" s="8" t="inlineStr">
        <is>
          <t>LBM-ORDEN-00001</t>
        </is>
      </c>
      <c r="D8" s="8" t="inlineStr">
        <is>
          <t>RAFAEL ANTONIO CONTRERAS LINDARTE</t>
        </is>
      </c>
      <c r="E8" s="8" t="inlineStr">
        <is>
          <t>HONDA HR-V 1.5L A/T EXL 2026</t>
        </is>
      </c>
      <c r="F8" s="8" t="n">
        <v>1</v>
      </c>
      <c r="G8" s="9" t="n">
        <v>33600</v>
      </c>
      <c r="H8" s="8" t="inlineStr">
        <is>
          <t>Crédito (SAV)</t>
        </is>
      </c>
      <c r="I8" s="8" t="inlineStr">
        <is>
          <t>ROSMILA VALLADARES</t>
        </is>
      </c>
      <c r="J8" s="8" t="inlineStr">
        <is>
          <t>Caballero</t>
        </is>
      </c>
      <c r="K8" s="8" t="n">
        <v>44</v>
      </c>
      <c r="L8" s="8" t="inlineStr">
        <is>
          <t>MERIDA (VE)</t>
        </is>
      </c>
      <c r="M8" s="8" t="inlineStr">
        <is>
          <t>ADMINISTRADOR</t>
        </is>
      </c>
      <c r="N8" s="8" t="inlineStr">
        <is>
          <t>Independiente formal</t>
        </is>
      </c>
    </row>
    <row r="9">
      <c r="A9" s="10" t="inlineStr">
        <is>
          <t>2026-04</t>
        </is>
      </c>
      <c r="B9" s="10" t="inlineStr">
        <is>
          <t>2026-04-26</t>
        </is>
      </c>
      <c r="C9" s="10" t="inlineStr">
        <is>
          <t>LBM-ORDEN-00005</t>
        </is>
      </c>
      <c r="D9" s="10" t="inlineStr">
        <is>
          <t>JORGE LUIS ROJAS CHACON</t>
        </is>
      </c>
      <c r="E9" s="10" t="inlineStr">
        <is>
          <t>[HR-VEXL26-NH912P] HONDA HR-V 1.5L A/T EXL 2026 (Gris Urbano)</t>
        </is>
      </c>
      <c r="F9" s="10" t="n">
        <v>1</v>
      </c>
      <c r="G9" s="11" t="n">
        <v>34200</v>
      </c>
      <c r="H9" s="10" t="inlineStr">
        <is>
          <t>Crédito (SAV)</t>
        </is>
      </c>
      <c r="I9" s="10" t="inlineStr">
        <is>
          <t>ROSMILA VALLADARES</t>
        </is>
      </c>
      <c r="J9" s="10" t="inlineStr">
        <is>
          <t>Caballero</t>
        </is>
      </c>
      <c r="K9" s="10" t="n">
        <v>37</v>
      </c>
      <c r="L9" s="10" t="inlineStr">
        <is>
          <t>BARINAS (VE)</t>
        </is>
      </c>
      <c r="M9" s="10" t="inlineStr">
        <is>
          <t>COMERCIANTE</t>
        </is>
      </c>
      <c r="N9" s="10" t="inlineStr">
        <is>
          <t>Independiente formal</t>
        </is>
      </c>
    </row>
    <row r="10">
      <c r="A10" s="8" t="inlineStr">
        <is>
          <t>2026-05</t>
        </is>
      </c>
      <c r="B10" s="8" t="inlineStr">
        <is>
          <t>2026-05-06</t>
        </is>
      </c>
      <c r="C10" s="8" t="inlineStr">
        <is>
          <t>LBM-ORDEN-00009</t>
        </is>
      </c>
      <c r="D10" s="8" t="inlineStr">
        <is>
          <t>NEYDUTH SALOME HIGUERA MORALES</t>
        </is>
      </c>
      <c r="E10" s="8" t="inlineStr">
        <is>
          <t>[CITYEXL26-NH830M] HONDA CITY 1.5L A/T EXL 2026 (Plata Metalico)</t>
        </is>
      </c>
      <c r="F10" s="8" t="n">
        <v>1</v>
      </c>
      <c r="G10" s="9" t="n">
        <v>27900</v>
      </c>
      <c r="H10" s="8" t="inlineStr">
        <is>
          <t>Crédito (SAV)</t>
        </is>
      </c>
      <c r="I10" s="8" t="inlineStr">
        <is>
          <t>GERARDO JOSE RAMIREZ FERNANDEZ</t>
        </is>
      </c>
      <c r="J10" s="8" t="inlineStr">
        <is>
          <t>Dama</t>
        </is>
      </c>
      <c r="K10" s="8" t="n">
        <v>51</v>
      </c>
      <c r="L10" s="8" t="inlineStr">
        <is>
          <t>MERIDA (VE)</t>
        </is>
      </c>
      <c r="M10" s="8" t="inlineStr">
        <is>
          <t>LOCUTORA</t>
        </is>
      </c>
      <c r="N10" s="8" t="inlineStr">
        <is>
          <t>Bajo dependencia</t>
        </is>
      </c>
    </row>
    <row r="11">
      <c r="A11" s="10" t="inlineStr">
        <is>
          <t>2026-05</t>
        </is>
      </c>
      <c r="B11" s="10" t="inlineStr">
        <is>
          <t>2026-05-21</t>
        </is>
      </c>
      <c r="C11" s="10" t="inlineStr">
        <is>
          <t>LBM-ORDEN-00011</t>
        </is>
      </c>
      <c r="D11" s="10" t="inlineStr">
        <is>
          <t>LUIS BERNARDINO GIOVANNONE CHACON</t>
        </is>
      </c>
      <c r="E11" s="10" t="inlineStr">
        <is>
          <t>[HR-VEXL26-NH830M] HONDA HR-V 1.5L A/T EXL 2026 (Plata Metalico)</t>
        </is>
      </c>
      <c r="F11" s="10" t="n">
        <v>1</v>
      </c>
      <c r="G11" s="11" t="n">
        <v>34200</v>
      </c>
      <c r="H11" s="10" t="inlineStr">
        <is>
          <t>Crédito (SAV)</t>
        </is>
      </c>
      <c r="I11" s="10" t="inlineStr">
        <is>
          <t>ROSMILA VALLADARES</t>
        </is>
      </c>
      <c r="J11" s="10" t="inlineStr">
        <is>
          <t>Caballero</t>
        </is>
      </c>
      <c r="K11" s="10" t="n">
        <v>64</v>
      </c>
      <c r="L11" s="10" t="inlineStr">
        <is>
          <t>MERIDA (VE)</t>
        </is>
      </c>
      <c r="M11" s="10" t="inlineStr">
        <is>
          <t>INGENIERO</t>
        </is>
      </c>
      <c r="N11" s="10" t="inlineStr">
        <is>
          <t>Independiente formal</t>
        </is>
      </c>
    </row>
    <row r="12">
      <c r="A12" s="8" t="inlineStr">
        <is>
          <t>2026-05</t>
        </is>
      </c>
      <c r="B12" s="8" t="inlineStr">
        <is>
          <t>2026-05-21</t>
        </is>
      </c>
      <c r="C12" s="8" t="inlineStr">
        <is>
          <t>LBM-ORDEN-00041</t>
        </is>
      </c>
      <c r="D12" s="8" t="inlineStr">
        <is>
          <t>EDIMAR KATHERINE QUINTERO GARCIA</t>
        </is>
      </c>
      <c r="E12" s="8" t="inlineStr">
        <is>
          <t>[HR-VLX26-NH883P] HONDA HR-V 1.5L A/T LX 2026 (Blanco Perlado)</t>
        </is>
      </c>
      <c r="F12" s="8" t="n">
        <v>1</v>
      </c>
      <c r="G12" s="9" t="n">
        <v>30900</v>
      </c>
      <c r="H12" s="8" t="inlineStr">
        <is>
          <t>Contado</t>
        </is>
      </c>
      <c r="I12" s="8" t="inlineStr">
        <is>
          <t>ROSMILA VALLADARES</t>
        </is>
      </c>
      <c r="J12" s="8" t="inlineStr">
        <is>
          <t>Dama</t>
        </is>
      </c>
      <c r="K12" s="8" t="inlineStr">
        <is>
          <t>(sin dato)</t>
        </is>
      </c>
      <c r="L12" s="8" t="inlineStr">
        <is>
          <t>(sin registrar)</t>
        </is>
      </c>
      <c r="M12" s="8" t="inlineStr">
        <is>
          <t>(sin registrar)</t>
        </is>
      </c>
      <c r="N12" s="8" t="inlineStr">
        <is>
          <t>Bajo dependencia</t>
        </is>
      </c>
    </row>
    <row r="13">
      <c r="A13" s="10" t="inlineStr">
        <is>
          <t>2026-05</t>
        </is>
      </c>
      <c r="B13" s="10" t="inlineStr">
        <is>
          <t>2026-05-28</t>
        </is>
      </c>
      <c r="C13" s="10" t="inlineStr">
        <is>
          <t>LBM-ORDEN-00010</t>
        </is>
      </c>
      <c r="D13" s="10" t="inlineStr">
        <is>
          <t>FARMACIA FARMA JIRETH</t>
        </is>
      </c>
      <c r="E13" s="10" t="inlineStr">
        <is>
          <t>[HR-VEXL26-NH904M] HONDA HR-V 1.5L A/T EXL 2026 (Gris Metalico)</t>
        </is>
      </c>
      <c r="F13" s="10" t="n">
        <v>1</v>
      </c>
      <c r="G13" s="11" t="n">
        <v>34200</v>
      </c>
      <c r="H13" s="10" t="inlineStr">
        <is>
          <t>Crédito (SAV)</t>
        </is>
      </c>
      <c r="I13" s="10" t="inlineStr">
        <is>
          <t>ROSMILA VALLADARES</t>
        </is>
      </c>
      <c r="J13" s="10" t="inlineStr">
        <is>
          <t>Caballero</t>
        </is>
      </c>
      <c r="K13" s="10" t="inlineStr">
        <is>
          <t>(sin dato)</t>
        </is>
      </c>
      <c r="L13" s="10" t="inlineStr">
        <is>
          <t>(sin registrar)</t>
        </is>
      </c>
      <c r="M13" s="10" t="inlineStr">
        <is>
          <t>(sin registrar)</t>
        </is>
      </c>
      <c r="N13" s="10" t="inlineStr">
        <is>
          <t>Bajo dependencia</t>
        </is>
      </c>
    </row>
    <row r="14">
      <c r="A14" s="8" t="inlineStr">
        <is>
          <t>2026-06</t>
        </is>
      </c>
      <c r="B14" s="8" t="inlineStr">
        <is>
          <t>2026-06-08</t>
        </is>
      </c>
      <c r="C14" s="8" t="inlineStr">
        <is>
          <t>LBM-ORDEN-00007</t>
        </is>
      </c>
      <c r="D14" s="8" t="inlineStr">
        <is>
          <t>ANA MARIA NIGRO CARRILLO</t>
        </is>
      </c>
      <c r="E14" s="8" t="inlineStr">
        <is>
          <t>[HR-VEXL26-NH883P] HONDA HR-V 1.5L A/T EXL 2026 (Blanco Perlado)</t>
        </is>
      </c>
      <c r="F14" s="8" t="n">
        <v>1</v>
      </c>
      <c r="G14" s="9" t="n">
        <v>34200</v>
      </c>
      <c r="H14" s="8" t="inlineStr">
        <is>
          <t>Crédito (SAV)</t>
        </is>
      </c>
      <c r="I14" s="8" t="inlineStr">
        <is>
          <t>ROSMILA VALLADARES</t>
        </is>
      </c>
      <c r="J14" s="8" t="inlineStr">
        <is>
          <t>Dama</t>
        </is>
      </c>
      <c r="K14" s="8" t="n">
        <v>42</v>
      </c>
      <c r="L14" s="8" t="inlineStr">
        <is>
          <t>MERIDA (VE)</t>
        </is>
      </c>
      <c r="M14" s="8" t="inlineStr">
        <is>
          <t>CONTADOR</t>
        </is>
      </c>
      <c r="N14" s="8" t="inlineStr">
        <is>
          <t>Independiente formal</t>
        </is>
      </c>
    </row>
    <row r="15">
      <c r="A15" s="10" t="inlineStr">
        <is>
          <t>2026-06</t>
        </is>
      </c>
      <c r="B15" s="10" t="inlineStr">
        <is>
          <t>2026-06-11</t>
        </is>
      </c>
      <c r="C15" s="10" t="inlineStr">
        <is>
          <t>LBM-ORDEN-00028</t>
        </is>
      </c>
      <c r="D15" s="10" t="inlineStr">
        <is>
          <t>MARYSBELIA CASAL PARRA</t>
        </is>
      </c>
      <c r="E15" s="10" t="inlineStr">
        <is>
          <t>[WR-VEXL26-B607M] HONDA WR-V 1.5L A/T EXL 2026 (Azul Cosmico)</t>
        </is>
      </c>
      <c r="F15" s="10" t="n">
        <v>1</v>
      </c>
      <c r="G15" s="11" t="n">
        <v>31900</v>
      </c>
      <c r="H15" s="10" t="inlineStr">
        <is>
          <t>Contado</t>
        </is>
      </c>
      <c r="I15" s="10" t="inlineStr">
        <is>
          <t>ROSMILA VALLADARES</t>
        </is>
      </c>
      <c r="J15" s="10" t="inlineStr">
        <is>
          <t>Dama</t>
        </is>
      </c>
      <c r="K15" s="10" t="n">
        <v>60</v>
      </c>
      <c r="L15" s="10" t="inlineStr">
        <is>
          <t>MERIDA (VE)</t>
        </is>
      </c>
      <c r="M15" s="10" t="inlineStr">
        <is>
          <t>(sin registrar)</t>
        </is>
      </c>
      <c r="N15" s="10" t="inlineStr">
        <is>
          <t>Bajo dependencia</t>
        </is>
      </c>
    </row>
    <row r="16">
      <c r="A16" s="8" t="inlineStr">
        <is>
          <t>2026-06</t>
        </is>
      </c>
      <c r="B16" s="8" t="inlineStr">
        <is>
          <t>2026-06-11</t>
        </is>
      </c>
      <c r="C16" s="8" t="inlineStr">
        <is>
          <t>LBM-ORDEN-00008</t>
        </is>
      </c>
      <c r="D16" s="8" t="inlineStr">
        <is>
          <t>LUIS ALBERTO ANGARITA VERGARA</t>
        </is>
      </c>
      <c r="E16" s="8" t="inlineStr">
        <is>
          <t>[HR-VLX26-B607M] HONDA HR-V 1.5L A/T LX 2026 (Azul Cosmico)</t>
        </is>
      </c>
      <c r="F16" s="8" t="n">
        <v>1</v>
      </c>
      <c r="G16" s="9" t="n">
        <v>30900</v>
      </c>
      <c r="H16" s="8" t="inlineStr">
        <is>
          <t>Crédito (SAV)</t>
        </is>
      </c>
      <c r="I16" s="8" t="inlineStr">
        <is>
          <t>ROSMILA VALLADARES</t>
        </is>
      </c>
      <c r="J16" s="8" t="inlineStr">
        <is>
          <t>Caballero</t>
        </is>
      </c>
      <c r="K16" s="8" t="n">
        <v>49</v>
      </c>
      <c r="L16" s="8" t="inlineStr">
        <is>
          <t>MERIDA (VE)</t>
        </is>
      </c>
      <c r="M16" s="8" t="inlineStr">
        <is>
          <t>COMERCIANTE</t>
        </is>
      </c>
      <c r="N16" s="8" t="inlineStr">
        <is>
          <t>Independiente formal</t>
        </is>
      </c>
    </row>
    <row r="17">
      <c r="A17" s="10" t="inlineStr">
        <is>
          <t>2026-06</t>
        </is>
      </c>
      <c r="B17" s="10" t="inlineStr">
        <is>
          <t>2026-06-11</t>
        </is>
      </c>
      <c r="C17" s="10" t="inlineStr">
        <is>
          <t>LBM-ORDEN-00036</t>
        </is>
      </c>
      <c r="D17" s="10" t="inlineStr">
        <is>
          <t>LUIS MIGUEL ANGULO ARELLANO</t>
        </is>
      </c>
      <c r="E17" s="10" t="inlineStr">
        <is>
          <t>[HR-VEXL26-NH883P] HONDA HR-V 1.5L A/T EXL 2026 (Blanco Perlado)</t>
        </is>
      </c>
      <c r="F17" s="10" t="n">
        <v>1</v>
      </c>
      <c r="G17" s="11" t="n">
        <v>39672</v>
      </c>
      <c r="H17" s="10" t="inlineStr">
        <is>
          <t>Crédito (SAV)</t>
        </is>
      </c>
      <c r="I17" s="10" t="inlineStr">
        <is>
          <t>ROSMILA VALLADARES</t>
        </is>
      </c>
      <c r="J17" s="10" t="inlineStr">
        <is>
          <t>Caballero</t>
        </is>
      </c>
      <c r="K17" s="10" t="n">
        <v>32</v>
      </c>
      <c r="L17" s="10" t="inlineStr">
        <is>
          <t>MERIDA (VE)</t>
        </is>
      </c>
      <c r="M17" s="10" t="inlineStr">
        <is>
          <t>CONTADOR</t>
        </is>
      </c>
      <c r="N17" s="10" t="inlineStr">
        <is>
          <t>Independiente formal</t>
        </is>
      </c>
    </row>
    <row r="18">
      <c r="A18" s="8" t="inlineStr">
        <is>
          <t>2026-06</t>
        </is>
      </c>
      <c r="B18" s="8" t="inlineStr">
        <is>
          <t>2026-06-19</t>
        </is>
      </c>
      <c r="C18" s="8" t="inlineStr">
        <is>
          <t>LBM-ORDEN-00044</t>
        </is>
      </c>
      <c r="D18" s="8" t="inlineStr">
        <is>
          <t>CARLA ANDREINA PEÑALOZA QUEVEDO</t>
        </is>
      </c>
      <c r="E18" s="8" t="inlineStr">
        <is>
          <t>[WR-VEXL26-NH-883P] HONDA WR-V 1.5L A/T EXL 2026 (Blanco)</t>
        </is>
      </c>
      <c r="F18" s="8" t="n">
        <v>1</v>
      </c>
      <c r="G18" s="9" t="n">
        <v>31900</v>
      </c>
      <c r="H18" s="8" t="inlineStr">
        <is>
          <t>Crédito (SAV)</t>
        </is>
      </c>
      <c r="I18" s="8" t="inlineStr">
        <is>
          <t>ROSMILA VALLADARES</t>
        </is>
      </c>
      <c r="J18" s="8" t="inlineStr">
        <is>
          <t>Dama</t>
        </is>
      </c>
      <c r="K18" s="8" t="n">
        <v>34</v>
      </c>
      <c r="L18" s="8" t="inlineStr">
        <is>
          <t>TRUJILLO (VE)</t>
        </is>
      </c>
      <c r="M18" s="8" t="inlineStr">
        <is>
          <t>ADMINITRADOR</t>
        </is>
      </c>
      <c r="N18" s="8" t="inlineStr">
        <is>
          <t>Bajo dependencia</t>
        </is>
      </c>
    </row>
    <row r="19">
      <c r="A19" s="10" t="inlineStr">
        <is>
          <t>2026-06</t>
        </is>
      </c>
      <c r="B19" s="10" t="inlineStr">
        <is>
          <t>2026-06-23</t>
        </is>
      </c>
      <c r="C19" s="10" t="inlineStr">
        <is>
          <t>LBM-ORDEN-00038</t>
        </is>
      </c>
      <c r="D19" s="10" t="inlineStr">
        <is>
          <t>MARIA ANDREINA MORENO SALAZAR</t>
        </is>
      </c>
      <c r="E19" s="10" t="inlineStr">
        <is>
          <t>[CITYEXL26-B607M] HONDA CITY 1.5L A/T EXL 2026 (Azul Cosmico)</t>
        </is>
      </c>
      <c r="F19" s="10" t="n">
        <v>1</v>
      </c>
      <c r="G19" s="11" t="n">
        <v>27900</v>
      </c>
      <c r="H19" s="10" t="inlineStr">
        <is>
          <t>Crédito (SAV)</t>
        </is>
      </c>
      <c r="I19" s="10" t="inlineStr">
        <is>
          <t>ROSMILA VALLADARES</t>
        </is>
      </c>
      <c r="J19" s="10" t="inlineStr">
        <is>
          <t>Dama</t>
        </is>
      </c>
      <c r="K19" s="10" t="n">
        <v>44</v>
      </c>
      <c r="L19" s="10" t="inlineStr">
        <is>
          <t>MERIDA (VE)</t>
        </is>
      </c>
      <c r="M19" s="10" t="inlineStr">
        <is>
          <t>T S U ADMINISTRACION DE EMPRESA</t>
        </is>
      </c>
      <c r="N19" s="10" t="inlineStr">
        <is>
          <t>Bajo dependencia</t>
        </is>
      </c>
    </row>
    <row r="20">
      <c r="A20" s="8" t="inlineStr">
        <is>
          <t>2026-06</t>
        </is>
      </c>
      <c r="B20" s="8" t="inlineStr">
        <is>
          <t>2026-06-29</t>
        </is>
      </c>
      <c r="C20" s="8" t="inlineStr">
        <is>
          <t>LBM-ORDEN-00012</t>
        </is>
      </c>
      <c r="D20" s="8" t="inlineStr">
        <is>
          <t>NORELIS COLMENARES GALAVIZ</t>
        </is>
      </c>
      <c r="E20" s="8" t="inlineStr">
        <is>
          <t>[HR-VEXL26-B607M] HONDA HR-V 1.5L A/T EXL 2026 (Azul Cosmico)</t>
        </is>
      </c>
      <c r="F20" s="8" t="n">
        <v>1</v>
      </c>
      <c r="G20" s="9" t="n">
        <v>34200</v>
      </c>
      <c r="H20" s="8" t="inlineStr">
        <is>
          <t>Crédito (SAV)</t>
        </is>
      </c>
      <c r="I20" s="8" t="inlineStr">
        <is>
          <t>ROSMILA VALLADARES</t>
        </is>
      </c>
      <c r="J20" s="8" t="inlineStr">
        <is>
          <t>Dama</t>
        </is>
      </c>
      <c r="K20" s="8" t="n">
        <v>51</v>
      </c>
      <c r="L20" s="8" t="inlineStr">
        <is>
          <t>MERIDA (VE)</t>
        </is>
      </c>
      <c r="M20" s="8" t="inlineStr">
        <is>
          <t>COMERCIANTE</t>
        </is>
      </c>
      <c r="N20" s="8" t="inlineStr">
        <is>
          <t>Independiente formal</t>
        </is>
      </c>
    </row>
    <row r="21">
      <c r="A21" s="10" t="inlineStr">
        <is>
          <t>2026-06</t>
        </is>
      </c>
      <c r="B21" s="10" t="inlineStr">
        <is>
          <t>2026-06-30</t>
        </is>
      </c>
      <c r="C21" s="10" t="inlineStr">
        <is>
          <t>LBM-ORDEN-00040</t>
        </is>
      </c>
      <c r="D21" s="10" t="inlineStr">
        <is>
          <t>RAFAEL ANTONIO TREJO ROMERO</t>
        </is>
      </c>
      <c r="E21" s="10" t="inlineStr">
        <is>
          <t>[WR-VEXL26-B607M] HONDA WR-V 1.5L A/T EXL 2026 (Azul Cosmico)</t>
        </is>
      </c>
      <c r="F21" s="10" t="n">
        <v>1</v>
      </c>
      <c r="G21" s="11" t="n">
        <v>31900</v>
      </c>
      <c r="H21" s="10" t="inlineStr">
        <is>
          <t>Crédito (SAV)</t>
        </is>
      </c>
      <c r="I21" s="10" t="inlineStr">
        <is>
          <t>ROSMILA VALLADARES</t>
        </is>
      </c>
      <c r="J21" s="10" t="inlineStr">
        <is>
          <t>Caballero</t>
        </is>
      </c>
      <c r="K21" s="10" t="n">
        <v>38</v>
      </c>
      <c r="L21" s="10" t="inlineStr">
        <is>
          <t>MERIDA (VE)</t>
        </is>
      </c>
      <c r="M21" s="10" t="inlineStr">
        <is>
          <t>(sin registrar)</t>
        </is>
      </c>
      <c r="N21" s="10" t="inlineStr">
        <is>
          <t>Bajo dependencia</t>
        </is>
      </c>
    </row>
    <row r="22">
      <c r="A22" s="8" t="inlineStr">
        <is>
          <t>2026-06</t>
        </is>
      </c>
      <c r="B22" s="8" t="inlineStr">
        <is>
          <t>2026-06-30</t>
        </is>
      </c>
      <c r="C22" s="8" t="inlineStr">
        <is>
          <t>LBM-ORDEN-00032</t>
        </is>
      </c>
      <c r="D22" s="8" t="inlineStr">
        <is>
          <t>GUSTAVO BALZA RANGEL</t>
        </is>
      </c>
      <c r="E22" s="8" t="inlineStr">
        <is>
          <t>[WR-VEXL26-NH-830M] HONDA WR-V 1.5L A/T EXL 2026 (Plata Metalico)</t>
        </is>
      </c>
      <c r="F22" s="8" t="n">
        <v>1</v>
      </c>
      <c r="G22" s="9" t="n">
        <v>31900</v>
      </c>
      <c r="H22" s="8" t="inlineStr">
        <is>
          <t>Crédito (SAV)</t>
        </is>
      </c>
      <c r="I22" s="8" t="inlineStr">
        <is>
          <t>EDGARDO REINOZO</t>
        </is>
      </c>
      <c r="J22" s="8" t="inlineStr">
        <is>
          <t>Caballero</t>
        </is>
      </c>
      <c r="K22" s="8" t="n">
        <v>62</v>
      </c>
      <c r="L22" s="8" t="inlineStr">
        <is>
          <t>MERIDA (VE)</t>
        </is>
      </c>
      <c r="M22" s="8" t="inlineStr">
        <is>
          <t>(sin registrar)</t>
        </is>
      </c>
      <c r="N22" s="8" t="inlineStr">
        <is>
          <t>Bajo dependencia</t>
        </is>
      </c>
    </row>
    <row r="23">
      <c r="A23" s="10" t="inlineStr">
        <is>
          <t>2026-07</t>
        </is>
      </c>
      <c r="B23" s="10" t="inlineStr">
        <is>
          <t>2026-07-06</t>
        </is>
      </c>
      <c r="C23" s="10" t="inlineStr">
        <is>
          <t>LBM-ORDEN-00048</t>
        </is>
      </c>
      <c r="D23" s="10" t="inlineStr">
        <is>
          <t>OSCAR ALI QUINTERO QUINTERO</t>
        </is>
      </c>
      <c r="E23" s="10" t="inlineStr">
        <is>
          <t>[HR-VLX26-NH-904M] HONDA HR-V 1.5L A/T LX 2026 (Gris Metalico)</t>
        </is>
      </c>
      <c r="F23" s="10" t="n">
        <v>1</v>
      </c>
      <c r="G23" s="11" t="n">
        <v>31900</v>
      </c>
      <c r="H23" s="10" t="inlineStr">
        <is>
          <t>Crédito (SAV)</t>
        </is>
      </c>
      <c r="I23" s="10" t="inlineStr">
        <is>
          <t>ROSMILA VALLADARES</t>
        </is>
      </c>
      <c r="J23" s="10" t="inlineStr">
        <is>
          <t>Caballero</t>
        </is>
      </c>
      <c r="K23" s="10" t="n">
        <v>73</v>
      </c>
      <c r="L23" s="10" t="inlineStr">
        <is>
          <t>MERIDA (VE)</t>
        </is>
      </c>
      <c r="M23" s="10" t="inlineStr">
        <is>
          <t>(sin registrar)</t>
        </is>
      </c>
      <c r="N23" s="10" t="inlineStr">
        <is>
          <t>Bajo dependencia</t>
        </is>
      </c>
    </row>
    <row r="24">
      <c r="A24" s="8" t="inlineStr">
        <is>
          <t>2026-07</t>
        </is>
      </c>
      <c r="B24" s="8" t="inlineStr">
        <is>
          <t>2026-07-06</t>
        </is>
      </c>
      <c r="C24" s="8" t="inlineStr">
        <is>
          <t>LBM-ORDEN-00046</t>
        </is>
      </c>
      <c r="D24" s="8" t="inlineStr">
        <is>
          <t>YADIRA COROMOTO NAVA BRACHO</t>
        </is>
      </c>
      <c r="E24" s="8" t="inlineStr">
        <is>
          <t>[WR-VEXL26-G553P] HONDA WR-V 1.5L A/T EXL 2026 (Azul Nórdico)</t>
        </is>
      </c>
      <c r="F24" s="8" t="n">
        <v>1</v>
      </c>
      <c r="G24" s="9" t="n">
        <v>31900</v>
      </c>
      <c r="H24" s="8" t="inlineStr">
        <is>
          <t>Contado</t>
        </is>
      </c>
      <c r="I24" s="8" t="inlineStr">
        <is>
          <t>ROSMILA VALLADARES</t>
        </is>
      </c>
      <c r="J24" s="8" t="inlineStr">
        <is>
          <t>Dama</t>
        </is>
      </c>
      <c r="K24" s="8" t="n">
        <v>55</v>
      </c>
      <c r="L24" s="8" t="inlineStr">
        <is>
          <t>MERIDA (VE)</t>
        </is>
      </c>
      <c r="M24" s="8" t="inlineStr">
        <is>
          <t>(sin registrar)</t>
        </is>
      </c>
      <c r="N24" s="8" t="inlineStr">
        <is>
          <t>Bajo dependencia</t>
        </is>
      </c>
    </row>
    <row r="25">
      <c r="A25" s="10" t="inlineStr">
        <is>
          <t>2026-07</t>
        </is>
      </c>
      <c r="B25" s="10" t="inlineStr">
        <is>
          <t>2026-07-08</t>
        </is>
      </c>
      <c r="C25" s="10" t="inlineStr">
        <is>
          <t>LBM-ORDEN-00034</t>
        </is>
      </c>
      <c r="D25" s="10" t="inlineStr">
        <is>
          <t>DALIA MARIA SANCHEZ DE SULBARAN</t>
        </is>
      </c>
      <c r="E25" s="10" t="inlineStr">
        <is>
          <t>[WR-VEXL26-NH-904M] HONDA WR-V 1.5L A/T EXL 2026 (Gris Metalico)</t>
        </is>
      </c>
      <c r="F25" s="10" t="n">
        <v>1</v>
      </c>
      <c r="G25" s="11" t="n">
        <v>31900</v>
      </c>
      <c r="H25" s="10" t="inlineStr">
        <is>
          <t>Crédito (SAV)</t>
        </is>
      </c>
      <c r="I25" s="10" t="inlineStr">
        <is>
          <t>ROSMILA VALLADARES</t>
        </is>
      </c>
      <c r="J25" s="10" t="inlineStr">
        <is>
          <t>Dama</t>
        </is>
      </c>
      <c r="K25" s="10" t="n">
        <v>62</v>
      </c>
      <c r="L25" s="10" t="inlineStr">
        <is>
          <t>(sin registrar)</t>
        </is>
      </c>
      <c r="M25" s="10" t="inlineStr">
        <is>
          <t>(sin registrar)</t>
        </is>
      </c>
      <c r="N25" s="10" t="inlineStr">
        <is>
          <t>Bajo dependencia</t>
        </is>
      </c>
    </row>
    <row r="26">
      <c r="A26" s="8" t="inlineStr">
        <is>
          <t>2026-07</t>
        </is>
      </c>
      <c r="B26" s="8" t="inlineStr">
        <is>
          <t>2026-07-10</t>
        </is>
      </c>
      <c r="C26" s="8" t="inlineStr">
        <is>
          <t>LBM-ORDEN-00030</t>
        </is>
      </c>
      <c r="D26" s="8" t="inlineStr">
        <is>
          <t>FERNANDO JOSE VERA USECHE</t>
        </is>
      </c>
      <c r="E26" s="8" t="inlineStr">
        <is>
          <t>[HR-VLX26-B607M] HONDA HR-V 1.5L A/T LX 2026 (Azul Cosmico)</t>
        </is>
      </c>
      <c r="F26" s="8" t="n">
        <v>1</v>
      </c>
      <c r="G26" s="9" t="n">
        <v>31900</v>
      </c>
      <c r="H26" s="8" t="inlineStr">
        <is>
          <t>Crédito (SAV)</t>
        </is>
      </c>
      <c r="I26" s="8" t="inlineStr">
        <is>
          <t>ROSMILA VALLADARES</t>
        </is>
      </c>
      <c r="J26" s="8" t="inlineStr">
        <is>
          <t>Caballero</t>
        </is>
      </c>
      <c r="K26" s="8" t="n">
        <v>48</v>
      </c>
      <c r="L26" s="8" t="inlineStr">
        <is>
          <t>MERIDA (VE)</t>
        </is>
      </c>
      <c r="M26" s="8" t="inlineStr">
        <is>
          <t>INGENIERO MECANICO</t>
        </is>
      </c>
      <c r="N26" s="8" t="inlineStr">
        <is>
          <t>Bajo dependencia</t>
        </is>
      </c>
    </row>
    <row r="27">
      <c r="A27" s="10" t="inlineStr">
        <is>
          <t>2026-07</t>
        </is>
      </c>
      <c r="B27" s="10" t="inlineStr">
        <is>
          <t>2026-07-10</t>
        </is>
      </c>
      <c r="C27" s="10" t="inlineStr">
        <is>
          <t>LBM-ORDEN-00050</t>
        </is>
      </c>
      <c r="D27" s="10" t="inlineStr">
        <is>
          <t>DARIO ALEJANDRO GARAY GONZALEZ</t>
        </is>
      </c>
      <c r="E27" s="10" t="inlineStr">
        <is>
          <t>[HR-VLX26-NH830M] HONDA HR-V 1.5L A/T LX 2026 (Plata Metalico)</t>
        </is>
      </c>
      <c r="F27" s="10" t="n">
        <v>1</v>
      </c>
      <c r="G27" s="11" t="n">
        <v>31900</v>
      </c>
      <c r="H27" s="10" t="inlineStr">
        <is>
          <t>Contado</t>
        </is>
      </c>
      <c r="I27" s="10" t="inlineStr">
        <is>
          <t>ROSMILA VALLADARES</t>
        </is>
      </c>
      <c r="J27" s="10" t="inlineStr">
        <is>
          <t>Caballero</t>
        </is>
      </c>
      <c r="K27" s="10" t="n">
        <v>41</v>
      </c>
      <c r="L27" s="10" t="inlineStr">
        <is>
          <t>MERIDA (VE)</t>
        </is>
      </c>
      <c r="M27" s="10" t="inlineStr">
        <is>
          <t>(sin registrar)</t>
        </is>
      </c>
      <c r="N27" s="10" t="inlineStr">
        <is>
          <t>Bajo dependencia</t>
        </is>
      </c>
    </row>
    <row r="28">
      <c r="A28" s="8" t="inlineStr">
        <is>
          <t>2026-07</t>
        </is>
      </c>
      <c r="B28" s="8" t="inlineStr">
        <is>
          <t>2026-07-27</t>
        </is>
      </c>
      <c r="C28" s="8" t="inlineStr">
        <is>
          <t>LBM-ORDEN-00027</t>
        </is>
      </c>
      <c r="D28" s="8" t="inlineStr">
        <is>
          <t>ROBERTO CRALOS DIAZ MORANTES</t>
        </is>
      </c>
      <c r="E28" s="8" t="inlineStr">
        <is>
          <t>[WR-VEXL26-G553P] HONDA WR-V 1.5L A/T EXL 2026 (Azul Nórdico)</t>
        </is>
      </c>
      <c r="F28" s="8" t="n">
        <v>1</v>
      </c>
      <c r="G28" s="9" t="n">
        <v>31900</v>
      </c>
      <c r="H28" s="8" t="inlineStr">
        <is>
          <t>Crédito (SAV)</t>
        </is>
      </c>
      <c r="I28" s="8" t="inlineStr">
        <is>
          <t>ROSMILA VALLADARES</t>
        </is>
      </c>
      <c r="J28" s="8" t="inlineStr">
        <is>
          <t>Caballero</t>
        </is>
      </c>
      <c r="K28" s="8" t="n">
        <v>39</v>
      </c>
      <c r="L28" s="8" t="inlineStr">
        <is>
          <t>MERIDA (VE)</t>
        </is>
      </c>
      <c r="M28" s="8" t="inlineStr">
        <is>
          <t>LCDO EN TECNOLOGIA</t>
        </is>
      </c>
      <c r="N28" s="8" t="inlineStr">
        <is>
          <t>Independiente formal</t>
        </is>
      </c>
    </row>
    <row r="29">
      <c r="A29" s="10" t="inlineStr">
        <is>
          <t>2026-07</t>
        </is>
      </c>
      <c r="B29" s="10" t="inlineStr">
        <is>
          <t>2026-07-29</t>
        </is>
      </c>
      <c r="C29" s="10" t="inlineStr">
        <is>
          <t>LBM-ORDEN-00053</t>
        </is>
      </c>
      <c r="D29" s="10" t="inlineStr">
        <is>
          <t>JUHENDIS ESTHER VALLADARES LOPEZ F.P</t>
        </is>
      </c>
      <c r="E29" s="10" t="inlineStr">
        <is>
          <t>[CITYEXL26-NH883P] HONDA CITY 1.5L A/T EXL 2026 (Blanco Perlado)</t>
        </is>
      </c>
      <c r="F29" s="10" t="n">
        <v>1</v>
      </c>
      <c r="G29" s="11" t="n">
        <v>27900</v>
      </c>
      <c r="H29" s="10" t="inlineStr">
        <is>
          <t>Crédito (SAV)</t>
        </is>
      </c>
      <c r="I29" s="10" t="inlineStr">
        <is>
          <t>JUHENDIS VALLADARES</t>
        </is>
      </c>
      <c r="J29" s="10" t="inlineStr">
        <is>
          <t>Dama</t>
        </is>
      </c>
      <c r="K29" s="10" t="n">
        <v>43</v>
      </c>
      <c r="L29" s="10" t="inlineStr">
        <is>
          <t>MERIDA (VE)</t>
        </is>
      </c>
      <c r="M29" s="10" t="inlineStr">
        <is>
          <t>GERENTE ADMINISTRATIVO</t>
        </is>
      </c>
      <c r="N29" s="10" t="inlineStr">
        <is>
          <t>Bajo dependencia</t>
        </is>
      </c>
    </row>
    <row r="30">
      <c r="A30" s="8" t="inlineStr">
        <is>
          <t>2026-07</t>
        </is>
      </c>
      <c r="B30" s="8" t="inlineStr">
        <is>
          <t>2026-07-29</t>
        </is>
      </c>
      <c r="C30" s="8" t="inlineStr">
        <is>
          <t>LBM-ORDEN-00055</t>
        </is>
      </c>
      <c r="D30" s="8" t="inlineStr">
        <is>
          <t>GERARDO JOSE RAMIREZ FERNANDEZ...</t>
        </is>
      </c>
      <c r="E30" s="8" t="inlineStr">
        <is>
          <t>[HR-VEXL26-NH904M] HONDA HR-V 1.5L A/T EXL 2026 (Gris Metalico)</t>
        </is>
      </c>
      <c r="F30" s="8" t="n">
        <v>1</v>
      </c>
      <c r="G30" s="9" t="n">
        <v>35600</v>
      </c>
      <c r="H30" s="8" t="inlineStr">
        <is>
          <t>Crédito (SAV)</t>
        </is>
      </c>
      <c r="I30" s="8" t="inlineStr">
        <is>
          <t>GERARDO JOSE RAMIREZ FERNANDEZ</t>
        </is>
      </c>
      <c r="J30" s="8" t="inlineStr">
        <is>
          <t>Caballero</t>
        </is>
      </c>
      <c r="K30" s="8" t="inlineStr">
        <is>
          <t>(sin dato)</t>
        </is>
      </c>
      <c r="L30" s="8" t="inlineStr">
        <is>
          <t>MERIDA (VE)</t>
        </is>
      </c>
      <c r="M30" s="8" t="inlineStr">
        <is>
          <t>(sin registrar)</t>
        </is>
      </c>
      <c r="N30" s="8" t="inlineStr">
        <is>
          <t>Bajo dependencia</t>
        </is>
      </c>
    </row>
    <row r="31">
      <c r="A31" s="10" t="inlineStr">
        <is>
          <t>2026-07</t>
        </is>
      </c>
      <c r="B31" s="10" t="inlineStr">
        <is>
          <t>2026-07-30</t>
        </is>
      </c>
      <c r="C31" s="10" t="inlineStr">
        <is>
          <t>LBM-ORDEN-00057</t>
        </is>
      </c>
      <c r="D31" s="10" t="inlineStr">
        <is>
          <t>YOANA SORIMAR LACRUZ QUINTERO</t>
        </is>
      </c>
      <c r="E31" s="10" t="inlineStr">
        <is>
          <t>[WR-VEXL26-G553P] HONDA WR-V 1.5L A/T EXL 2026 (Azul Nórdico)</t>
        </is>
      </c>
      <c r="F31" s="10" t="n">
        <v>1</v>
      </c>
      <c r="G31" s="11" t="n">
        <v>31900</v>
      </c>
      <c r="H31" s="10" t="inlineStr">
        <is>
          <t>Crédito (SAV)</t>
        </is>
      </c>
      <c r="I31" s="10" t="inlineStr">
        <is>
          <t>ROSMILA VALLADARES</t>
        </is>
      </c>
      <c r="J31" s="10" t="inlineStr">
        <is>
          <t>Dama</t>
        </is>
      </c>
      <c r="K31" s="10" t="n">
        <v>48</v>
      </c>
      <c r="L31" s="10" t="inlineStr">
        <is>
          <t>MERIDA (VE)</t>
        </is>
      </c>
      <c r="M31" s="10" t="inlineStr">
        <is>
          <t>(sin registrar)</t>
        </is>
      </c>
      <c r="N31" s="10" t="inlineStr">
        <is>
          <t>Bajo dependencia</t>
        </is>
      </c>
    </row>
    <row r="32">
      <c r="A32" s="8" t="inlineStr">
        <is>
          <t>2026-07</t>
        </is>
      </c>
      <c r="B32" s="8" t="inlineStr">
        <is>
          <t>2026-07-31</t>
        </is>
      </c>
      <c r="C32" s="8" t="inlineStr">
        <is>
          <t>LBM-ORDEN-00026</t>
        </is>
      </c>
      <c r="D32" s="8" t="inlineStr">
        <is>
          <t>GREGORY ARCANGEL ARAQUE LOPEZ</t>
        </is>
      </c>
      <c r="E32" s="8" t="inlineStr">
        <is>
          <t>[CITYEXL26-NH830M] HONDA CITY 1.5L A/T EXL 2026 (Plata Metalico)</t>
        </is>
      </c>
      <c r="F32" s="8" t="n">
        <v>1</v>
      </c>
      <c r="G32" s="9" t="n">
        <v>27900</v>
      </c>
      <c r="H32" s="8" t="inlineStr">
        <is>
          <t>Crédito (SAV)</t>
        </is>
      </c>
      <c r="I32" s="8" t="inlineStr">
        <is>
          <t>ROSMILA VALLADARES</t>
        </is>
      </c>
      <c r="J32" s="8" t="inlineStr">
        <is>
          <t>Caballero</t>
        </is>
      </c>
      <c r="K32" s="8" t="n">
        <v>28</v>
      </c>
      <c r="L32" s="8" t="inlineStr">
        <is>
          <t>(sin registrar)</t>
        </is>
      </c>
      <c r="M32" s="8" t="inlineStr">
        <is>
          <t>COMERCIANTE</t>
        </is>
      </c>
      <c r="N32" s="8" t="inlineStr">
        <is>
          <t>Independiente formal</t>
        </is>
      </c>
    </row>
    <row r="33">
      <c r="A33" s="10" t="inlineStr">
        <is>
          <t>2026-07</t>
        </is>
      </c>
      <c r="B33" s="10" t="inlineStr">
        <is>
          <t>2026-07-31</t>
        </is>
      </c>
      <c r="C33" s="10" t="inlineStr">
        <is>
          <t>LBM-ORDEN-00013</t>
        </is>
      </c>
      <c r="D33" s="10" t="inlineStr">
        <is>
          <t>RAMON BENITO VALBUENA RONDON</t>
        </is>
      </c>
      <c r="E33" s="10" t="inlineStr">
        <is>
          <t>[WR-VEXL26-NH-904M] HONDA WR-V 1.5L A/T EXL 2026 (Gris Metalico)</t>
        </is>
      </c>
      <c r="F33" s="10" t="n">
        <v>1</v>
      </c>
      <c r="G33" s="11" t="n">
        <v>31900</v>
      </c>
      <c r="H33" s="10" t="inlineStr">
        <is>
          <t>Crédito (SAV)</t>
        </is>
      </c>
      <c r="I33" s="10" t="inlineStr">
        <is>
          <t>GERARDO JOSE RAMIREZ FERNANDEZ</t>
        </is>
      </c>
      <c r="J33" s="10" t="inlineStr">
        <is>
          <t>Caballero</t>
        </is>
      </c>
      <c r="K33" s="10" t="n">
        <v>34</v>
      </c>
      <c r="L33" s="10" t="inlineStr">
        <is>
          <t>ZULIA (VE)</t>
        </is>
      </c>
      <c r="M33" s="10" t="inlineStr">
        <is>
          <t>ABOGADO/ CONTADOR</t>
        </is>
      </c>
      <c r="N33" s="10" t="inlineStr">
        <is>
          <t>Bajo dependencia</t>
        </is>
      </c>
    </row>
    <row r="34">
      <c r="A34" s="8" t="inlineStr">
        <is>
          <t>2026-08</t>
        </is>
      </c>
      <c r="B34" s="8" t="inlineStr">
        <is>
          <t>2026-08-04</t>
        </is>
      </c>
      <c r="C34" s="8" t="inlineStr">
        <is>
          <t>LBM-ORDEN-00064</t>
        </is>
      </c>
      <c r="D34" s="8" t="inlineStr">
        <is>
          <t>YADIRA COROMOTO ARIZA</t>
        </is>
      </c>
      <c r="E34" s="8" t="inlineStr">
        <is>
          <t>[WR-VEXL26-NH-830M] HONDA WR-V 1.5L A/T EXL 2026 (Plata Metalico)</t>
        </is>
      </c>
      <c r="F34" s="8" t="n">
        <v>1</v>
      </c>
      <c r="G34" s="9" t="n">
        <v>31900</v>
      </c>
      <c r="H34" s="8" t="inlineStr">
        <is>
          <t>Crédito (SAV)</t>
        </is>
      </c>
      <c r="I34" s="8" t="inlineStr">
        <is>
          <t>ROSMILA VALLADARES</t>
        </is>
      </c>
      <c r="J34" s="8" t="inlineStr">
        <is>
          <t>Dama</t>
        </is>
      </c>
      <c r="K34" s="8" t="n">
        <v>58</v>
      </c>
      <c r="L34" s="8" t="inlineStr">
        <is>
          <t>(sin registrar)</t>
        </is>
      </c>
      <c r="M34" s="8" t="inlineStr">
        <is>
          <t>(sin registrar)</t>
        </is>
      </c>
      <c r="N34" s="8" t="inlineStr">
        <is>
          <t>Bajo dependencia</t>
        </is>
      </c>
    </row>
    <row r="35">
      <c r="A35" s="10" t="inlineStr">
        <is>
          <t>2026-08</t>
        </is>
      </c>
      <c r="B35" s="10" t="inlineStr">
        <is>
          <t>2026-08-12</t>
        </is>
      </c>
      <c r="C35" s="10" t="inlineStr">
        <is>
          <t>LBM-ORDEN-00065</t>
        </is>
      </c>
      <c r="D35" s="10" t="inlineStr">
        <is>
          <t>ROMINA BARBACANE</t>
        </is>
      </c>
      <c r="E35" s="10" t="inlineStr">
        <is>
          <t>[WR-VEXL26-G553P] HONDA WR-V 1.5L A/T EXL 2026 (Azul Nórdico)</t>
        </is>
      </c>
      <c r="F35" s="10" t="n">
        <v>1</v>
      </c>
      <c r="G35" s="11" t="n">
        <v>31900</v>
      </c>
      <c r="H35" s="10" t="inlineStr">
        <is>
          <t>Crédito (SAV)</t>
        </is>
      </c>
      <c r="I35" s="10" t="inlineStr">
        <is>
          <t>ROSMILA VALLADARES</t>
        </is>
      </c>
      <c r="J35" s="10" t="inlineStr">
        <is>
          <t>Caballero</t>
        </is>
      </c>
      <c r="K35" s="10" t="n">
        <v>56</v>
      </c>
      <c r="L35" s="10" t="inlineStr">
        <is>
          <t>MERIDA (VE)</t>
        </is>
      </c>
      <c r="M35" s="10" t="inlineStr">
        <is>
          <t>(sin registrar)</t>
        </is>
      </c>
      <c r="N35" s="10" t="inlineStr">
        <is>
          <t>Bajo dependencia</t>
        </is>
      </c>
    </row>
    <row r="36">
      <c r="A36" s="8" t="inlineStr">
        <is>
          <t>2026-08</t>
        </is>
      </c>
      <c r="B36" s="8" t="inlineStr">
        <is>
          <t>2026-08-15</t>
        </is>
      </c>
      <c r="C36" s="8" t="inlineStr">
        <is>
          <t>LBM-ORDEN-00066</t>
        </is>
      </c>
      <c r="D36" s="8" t="inlineStr">
        <is>
          <t>MARIA SOLEDAD GONZALEZ REYES</t>
        </is>
      </c>
      <c r="E36" s="8" t="inlineStr">
        <is>
          <t>[WR-VEXL26-NH-883P] HONDA WR-V 1.5L A/T EXL 2026 (Blanco)</t>
        </is>
      </c>
      <c r="F36" s="8" t="n">
        <v>1</v>
      </c>
      <c r="G36" s="9" t="n">
        <v>31900</v>
      </c>
      <c r="H36" s="8" t="inlineStr">
        <is>
          <t>Contado</t>
        </is>
      </c>
      <c r="I36" s="8" t="inlineStr">
        <is>
          <t>ANGEL DAVID PUENTES</t>
        </is>
      </c>
      <c r="J36" s="8" t="inlineStr">
        <is>
          <t>Dama</t>
        </is>
      </c>
      <c r="K36" s="8" t="n">
        <v>66</v>
      </c>
      <c r="L36" s="8" t="inlineStr">
        <is>
          <t>MERIDA (VE)</t>
        </is>
      </c>
      <c r="M36" s="8" t="inlineStr">
        <is>
          <t>COMERCIANTE</t>
        </is>
      </c>
      <c r="N36" s="8" t="inlineStr">
        <is>
          <t>Bajo dependencia</t>
        </is>
      </c>
    </row>
    <row r="37">
      <c r="A37" s="10" t="inlineStr">
        <is>
          <t>2026-08</t>
        </is>
      </c>
      <c r="B37" s="10" t="inlineStr">
        <is>
          <t>2026-08-31</t>
        </is>
      </c>
      <c r="C37" s="10" t="inlineStr">
        <is>
          <t>LBM-ORDEN-00090</t>
        </is>
      </c>
      <c r="D37" s="10" t="inlineStr">
        <is>
          <t>MARLY CECILIA VIELMA DE PAREDES</t>
        </is>
      </c>
      <c r="E37" s="10" t="inlineStr">
        <is>
          <t>[CITYEXL26-NH904M] HONDA CITY 1.5L A/T EXL 2026 (Gris Metalico)</t>
        </is>
      </c>
      <c r="F37" s="10" t="n">
        <v>1</v>
      </c>
      <c r="G37" s="11" t="n">
        <v>27900</v>
      </c>
      <c r="H37" s="10" t="inlineStr">
        <is>
          <t>Crédito (SAV)</t>
        </is>
      </c>
      <c r="I37" s="10" t="inlineStr">
        <is>
          <t>ROSMILA VALLADARES</t>
        </is>
      </c>
      <c r="J37" s="10" t="inlineStr">
        <is>
          <t>Dama</t>
        </is>
      </c>
      <c r="K37" s="10" t="n">
        <v>52</v>
      </c>
      <c r="L37" s="10" t="inlineStr">
        <is>
          <t>MERIDA (VE)</t>
        </is>
      </c>
      <c r="M37" s="10" t="inlineStr">
        <is>
          <t>MEDICINA EN GENERAL</t>
        </is>
      </c>
      <c r="N37" s="10" t="inlineStr">
        <is>
          <t>Independiente formal</t>
        </is>
      </c>
    </row>
    <row r="38">
      <c r="A38" s="8" t="inlineStr">
        <is>
          <t>2026-08</t>
        </is>
      </c>
      <c r="B38" s="8" t="inlineStr">
        <is>
          <t>2026-08-31</t>
        </is>
      </c>
      <c r="C38" s="8" t="inlineStr">
        <is>
          <t>LBM-ORDEN-00074</t>
        </is>
      </c>
      <c r="D38" s="8" t="inlineStr">
        <is>
          <t>ALEJANDRO RAFAEL LEZAMA SÁNCHEZ</t>
        </is>
      </c>
      <c r="E38" s="8" t="inlineStr">
        <is>
          <t>[WR-VEXL26-NH-830M] HONDA WR-V 1.5L A/T EXL 2026 (Plata Metalico)</t>
        </is>
      </c>
      <c r="F38" s="8" t="n">
        <v>1</v>
      </c>
      <c r="G38" s="9" t="n">
        <v>31900</v>
      </c>
      <c r="H38" s="8" t="inlineStr">
        <is>
          <t>Crédito (SAV)</t>
        </is>
      </c>
      <c r="I38" s="8" t="inlineStr">
        <is>
          <t>DIEGO ARMANDO FERNANDEZ</t>
        </is>
      </c>
      <c r="J38" s="8" t="inlineStr">
        <is>
          <t>Caballero</t>
        </is>
      </c>
      <c r="K38" s="8" t="n">
        <v>43</v>
      </c>
      <c r="L38" s="8" t="inlineStr">
        <is>
          <t>MERIDA (VE)</t>
        </is>
      </c>
      <c r="M38" s="8" t="inlineStr">
        <is>
          <t>(sin registrar)</t>
        </is>
      </c>
      <c r="N38" s="8" t="inlineStr">
        <is>
          <t>Bajo dependencia</t>
        </is>
      </c>
    </row>
    <row r="39">
      <c r="A39" s="10" t="inlineStr">
        <is>
          <t>2026-08</t>
        </is>
      </c>
      <c r="B39" s="10" t="inlineStr">
        <is>
          <t>2026-08-31</t>
        </is>
      </c>
      <c r="C39" s="10" t="inlineStr">
        <is>
          <t>LBM-ORDEN-00071</t>
        </is>
      </c>
      <c r="D39" s="10" t="inlineStr">
        <is>
          <t>HEBERTT JOSE SIRA RAMIREZ</t>
        </is>
      </c>
      <c r="E39" s="10" t="inlineStr">
        <is>
          <t>[HR-VLX26-NH-904M] HONDA HR-V 1.5L A/T LX 2026 (Gris Metalico)</t>
        </is>
      </c>
      <c r="F39" s="10" t="n">
        <v>1</v>
      </c>
      <c r="G39" s="11" t="n">
        <v>31900</v>
      </c>
      <c r="H39" s="10" t="inlineStr">
        <is>
          <t>Contado</t>
        </is>
      </c>
      <c r="I39" s="10" t="inlineStr">
        <is>
          <t>ROSMILA VALLADARES</t>
        </is>
      </c>
      <c r="J39" s="10" t="inlineStr">
        <is>
          <t>Caballero</t>
        </is>
      </c>
      <c r="K39" s="10" t="n">
        <v>77</v>
      </c>
      <c r="L39" s="10" t="inlineStr">
        <is>
          <t>MERIDA (VE)</t>
        </is>
      </c>
      <c r="M39" s="10" t="inlineStr">
        <is>
          <t>(sin registrar)</t>
        </is>
      </c>
      <c r="N39" s="10" t="inlineStr">
        <is>
          <t>Bajo dependencia</t>
        </is>
      </c>
    </row>
    <row r="40">
      <c r="A40" s="8" t="inlineStr">
        <is>
          <t>2026-08</t>
        </is>
      </c>
      <c r="B40" s="8" t="inlineStr">
        <is>
          <t>2026-08-31</t>
        </is>
      </c>
      <c r="C40" s="8" t="inlineStr">
        <is>
          <t>LBM-ORDEN-00080</t>
        </is>
      </c>
      <c r="D40" s="8" t="inlineStr">
        <is>
          <t>ORLANDO JOSE ALBORNOZ RODRIGUEZ</t>
        </is>
      </c>
      <c r="E40" s="8" t="inlineStr">
        <is>
          <t>[HR-VEXL26-NH830M] HONDA HR-V 1.5L A/T EXL 2026 (Plata Metalico)</t>
        </is>
      </c>
      <c r="F40" s="8" t="n">
        <v>1</v>
      </c>
      <c r="G40" s="9" t="n">
        <v>35600</v>
      </c>
      <c r="H40" s="8" t="inlineStr">
        <is>
          <t>Crédito (sin factura)</t>
        </is>
      </c>
      <c r="I40" s="8" t="inlineStr">
        <is>
          <t>GERARDO JOSE RAMIREZ FERNANDEZ</t>
        </is>
      </c>
      <c r="J40" s="8" t="inlineStr">
        <is>
          <t>Caballero</t>
        </is>
      </c>
      <c r="K40" s="8" t="n">
        <v>41</v>
      </c>
      <c r="L40" s="8" t="inlineStr">
        <is>
          <t>(sin registrar)</t>
        </is>
      </c>
      <c r="M40" s="8" t="inlineStr">
        <is>
          <t>COMERCIANTE</t>
        </is>
      </c>
      <c r="N40" s="8" t="inlineStr">
        <is>
          <t>Independiente</t>
        </is>
      </c>
    </row>
    <row r="41">
      <c r="A41" s="10" t="inlineStr">
        <is>
          <t>2026-08</t>
        </is>
      </c>
      <c r="B41" s="10" t="inlineStr">
        <is>
          <t>2026-08-31</t>
        </is>
      </c>
      <c r="C41" s="10" t="inlineStr">
        <is>
          <t>LBM-ORDEN-00068</t>
        </is>
      </c>
      <c r="D41" s="10" t="inlineStr">
        <is>
          <t>CHRISTAVEL CONTRERAS ZERPA</t>
        </is>
      </c>
      <c r="E41" s="10" t="inlineStr">
        <is>
          <t>[WR-VEXL26-NH-830M] HONDA WR-V 1.5L A/T EXL 2026 (Plata Metalico)</t>
        </is>
      </c>
      <c r="F41" s="10" t="n">
        <v>1</v>
      </c>
      <c r="G41" s="11" t="n">
        <v>31900</v>
      </c>
      <c r="H41" s="10" t="inlineStr">
        <is>
          <t>Crédito (SAV)</t>
        </is>
      </c>
      <c r="I41" s="10" t="inlineStr">
        <is>
          <t>ROSMILA VALLADARES</t>
        </is>
      </c>
      <c r="J41" s="10" t="inlineStr">
        <is>
          <t>Dama</t>
        </is>
      </c>
      <c r="K41" s="10" t="n">
        <v>45</v>
      </c>
      <c r="L41" s="10" t="inlineStr">
        <is>
          <t>MERIDA (VE)</t>
        </is>
      </c>
      <c r="M41" s="10" t="inlineStr">
        <is>
          <t>COMERCIANTE</t>
        </is>
      </c>
      <c r="N41" s="10" t="inlineStr">
        <is>
          <t>Bajo dependencia</t>
        </is>
      </c>
    </row>
    <row r="42">
      <c r="A42" s="8" t="inlineStr">
        <is>
          <t>2026-08</t>
        </is>
      </c>
      <c r="B42" s="8" t="inlineStr">
        <is>
          <t>2026-08-31</t>
        </is>
      </c>
      <c r="C42" s="8" t="inlineStr">
        <is>
          <t>LBM-ORDEN-00069</t>
        </is>
      </c>
      <c r="D42" s="8" t="inlineStr">
        <is>
          <t>JOSE HERNAN ROA RAD</t>
        </is>
      </c>
      <c r="E42" s="8" t="inlineStr">
        <is>
          <t>[WR-VEXL26-B607M] HONDA WR-V 1.5L A/T EXL 2026 (Azul Cosmico)</t>
        </is>
      </c>
      <c r="F42" s="8" t="n">
        <v>1</v>
      </c>
      <c r="G42" s="9" t="n">
        <v>31900</v>
      </c>
      <c r="H42" s="8" t="inlineStr">
        <is>
          <t>Crédito (SAV)</t>
        </is>
      </c>
      <c r="I42" s="8" t="inlineStr">
        <is>
          <t>GERARDO JOSE RAMIREZ FERNANDEZ</t>
        </is>
      </c>
      <c r="J42" s="8" t="inlineStr">
        <is>
          <t>Caballero</t>
        </is>
      </c>
      <c r="K42" s="8" t="n">
        <v>50</v>
      </c>
      <c r="L42" s="8" t="inlineStr">
        <is>
          <t>TACHIRA (VE)</t>
        </is>
      </c>
      <c r="M42" s="8" t="inlineStr">
        <is>
          <t>MEDICO CARDIOLOGO</t>
        </is>
      </c>
      <c r="N42" s="8" t="inlineStr">
        <is>
          <t>Dependiente sector privado</t>
        </is>
      </c>
    </row>
    <row r="43">
      <c r="A43" s="10" t="inlineStr">
        <is>
          <t>2026-08</t>
        </is>
      </c>
      <c r="B43" s="10" t="inlineStr">
        <is>
          <t>2026-08-31</t>
        </is>
      </c>
      <c r="C43" s="10" t="inlineStr">
        <is>
          <t>LBM-ORDEN-00072</t>
        </is>
      </c>
      <c r="D43" s="10" t="inlineStr">
        <is>
          <t>LABORATORIOS BIOFARCO C.A.</t>
        </is>
      </c>
      <c r="E43" s="10" t="inlineStr">
        <is>
          <t>[WR-VEXL26-B607M] HONDA WR-V 1.5L A/T EXL 2026 (Azul Cosmico)</t>
        </is>
      </c>
      <c r="F43" s="10" t="n">
        <v>1</v>
      </c>
      <c r="G43" s="11" t="n">
        <v>31900</v>
      </c>
      <c r="H43" s="10" t="inlineStr">
        <is>
          <t>Crédito (SAV)</t>
        </is>
      </c>
      <c r="I43" s="10" t="inlineStr">
        <is>
          <t>DIEGO ARMANDO FERNANDEZ</t>
        </is>
      </c>
      <c r="J43" s="10" t="inlineStr">
        <is>
          <t>Caballero</t>
        </is>
      </c>
      <c r="K43" s="10" t="inlineStr">
        <is>
          <t>(sin dato)</t>
        </is>
      </c>
      <c r="L43" s="10" t="inlineStr">
        <is>
          <t>MERIDA (VE)</t>
        </is>
      </c>
      <c r="M43" s="10" t="inlineStr">
        <is>
          <t>(sin registrar)</t>
        </is>
      </c>
      <c r="N43" s="10" t="inlineStr">
        <is>
          <t>Bajo dependencia</t>
        </is>
      </c>
    </row>
    <row r="44">
      <c r="A44" s="8" t="inlineStr">
        <is>
          <t>2026-08</t>
        </is>
      </c>
      <c r="B44" s="8" t="inlineStr">
        <is>
          <t>2026-08-31</t>
        </is>
      </c>
      <c r="C44" s="8" t="inlineStr">
        <is>
          <t>LBM-ORDEN-00081</t>
        </is>
      </c>
      <c r="D44" s="8" t="inlineStr">
        <is>
          <t>KARLA ISAMAR PAREDES MOLINA</t>
        </is>
      </c>
      <c r="E44" s="8" t="inlineStr">
        <is>
          <t>[WR-VEXL26-NH-904M] HONDA WR-V 1.5L A/T EXL 2026 (Gris Metalico)</t>
        </is>
      </c>
      <c r="F44" s="8" t="n">
        <v>1</v>
      </c>
      <c r="G44" s="9" t="n">
        <v>31900</v>
      </c>
      <c r="H44" s="8" t="inlineStr">
        <is>
          <t>Contado</t>
        </is>
      </c>
      <c r="I44" s="8" t="inlineStr">
        <is>
          <t>KAREN DANIELA NAVA</t>
        </is>
      </c>
      <c r="J44" s="8" t="inlineStr">
        <is>
          <t>Dama</t>
        </is>
      </c>
      <c r="K44" s="8" t="n">
        <v>36</v>
      </c>
      <c r="L44" s="8" t="inlineStr">
        <is>
          <t>MERIDA (VE)</t>
        </is>
      </c>
      <c r="M44" s="8" t="inlineStr">
        <is>
          <t>(sin registrar)</t>
        </is>
      </c>
      <c r="N44" s="8" t="inlineStr">
        <is>
          <t>Bajo dependencia</t>
        </is>
      </c>
    </row>
    <row r="45">
      <c r="A45" s="10" t="inlineStr">
        <is>
          <t>2026-08</t>
        </is>
      </c>
      <c r="B45" s="10" t="inlineStr">
        <is>
          <t>2026-08-31</t>
        </is>
      </c>
      <c r="C45" s="10" t="inlineStr">
        <is>
          <t>LBM-ORDEN-00082</t>
        </is>
      </c>
      <c r="D45" s="10" t="inlineStr">
        <is>
          <t>JESUS ALFONSO UGUETO LEAL</t>
        </is>
      </c>
      <c r="E45" s="10" t="inlineStr">
        <is>
          <t>[HR-VEXL26-NH830M] HONDA HR-V 1.5L A/T EXL 2026 (Plata Metalico)</t>
        </is>
      </c>
      <c r="F45" s="10" t="n">
        <v>1</v>
      </c>
      <c r="G45" s="11" t="n">
        <v>35600</v>
      </c>
      <c r="H45" s="10" t="inlineStr">
        <is>
          <t>Crédito (SAV)</t>
        </is>
      </c>
      <c r="I45" s="10" t="inlineStr">
        <is>
          <t>ROSMILA VALLADARES</t>
        </is>
      </c>
      <c r="J45" s="10" t="inlineStr">
        <is>
          <t>Caballero</t>
        </is>
      </c>
      <c r="K45" s="10" t="n">
        <v>33</v>
      </c>
      <c r="L45" s="10" t="inlineStr">
        <is>
          <t>TACHIRA (VE)</t>
        </is>
      </c>
      <c r="M45" s="10" t="inlineStr">
        <is>
          <t>TRANSPORTISTA Y COMERCIANTE</t>
        </is>
      </c>
      <c r="N45" s="10" t="inlineStr">
        <is>
          <t>Bajo dependencia</t>
        </is>
      </c>
    </row>
    <row r="46">
      <c r="A46" s="8" t="inlineStr">
        <is>
          <t>2026-08</t>
        </is>
      </c>
      <c r="B46" s="8" t="inlineStr">
        <is>
          <t>2026-08-31</t>
        </is>
      </c>
      <c r="C46" s="8" t="inlineStr">
        <is>
          <t>LBM-ORDEN-00076</t>
        </is>
      </c>
      <c r="D46" s="8" t="inlineStr">
        <is>
          <t>GERALDINE CAROLINA RINCON AÑEZ</t>
        </is>
      </c>
      <c r="E46" s="8" t="inlineStr">
        <is>
          <t>[HR-VEXL26-NH883P] HONDA HR-V 1.5L A/T EXL 2026 (Blanco Perlado)</t>
        </is>
      </c>
      <c r="F46" s="8" t="n">
        <v>1</v>
      </c>
      <c r="G46" s="9" t="n">
        <v>35600</v>
      </c>
      <c r="H46" s="8" t="inlineStr">
        <is>
          <t>Contado</t>
        </is>
      </c>
      <c r="I46" s="8" t="inlineStr">
        <is>
          <t>DIEGO ARMANDO FERNANDEZ</t>
        </is>
      </c>
      <c r="J46" s="8" t="inlineStr">
        <is>
          <t>Dama</t>
        </is>
      </c>
      <c r="K46" s="8" t="n">
        <v>34</v>
      </c>
      <c r="L46" s="8" t="inlineStr">
        <is>
          <t>ZULIA (VE)</t>
        </is>
      </c>
      <c r="M46" s="8" t="inlineStr">
        <is>
          <t>(sin registrar)</t>
        </is>
      </c>
      <c r="N46" s="8" t="inlineStr">
        <is>
          <t>Bajo dependencia</t>
        </is>
      </c>
    </row>
    <row r="47">
      <c r="A47" s="10" t="inlineStr">
        <is>
          <t>2026-08</t>
        </is>
      </c>
      <c r="B47" s="10" t="inlineStr">
        <is>
          <t>2026-08-31</t>
        </is>
      </c>
      <c r="C47" s="10" t="inlineStr">
        <is>
          <t>LBM-ORDEN-00089</t>
        </is>
      </c>
      <c r="D47" s="10" t="inlineStr">
        <is>
          <t>ELADIO GARCÍA</t>
        </is>
      </c>
      <c r="E47" s="10" t="inlineStr">
        <is>
          <t>[HR-VLX26-NH883P] HONDA HR-V 1.5L A/T LX 2026 (Blanco Perlado)</t>
        </is>
      </c>
      <c r="F47" s="10" t="n">
        <v>1</v>
      </c>
      <c r="G47" s="11" t="n">
        <v>31262</v>
      </c>
      <c r="H47" s="10" t="inlineStr">
        <is>
          <t>Contado</t>
        </is>
      </c>
      <c r="I47" s="10" t="inlineStr">
        <is>
          <t>DIEGO ARMANDO FERNANDEZ</t>
        </is>
      </c>
      <c r="J47" s="10" t="inlineStr">
        <is>
          <t>Caballero</t>
        </is>
      </c>
      <c r="K47" s="10" t="n">
        <v>72</v>
      </c>
      <c r="L47" s="10" t="inlineStr">
        <is>
          <t>MERIDA (VE)</t>
        </is>
      </c>
      <c r="M47" s="10" t="inlineStr">
        <is>
          <t>(sin registrar)</t>
        </is>
      </c>
      <c r="N47" s="10" t="inlineStr">
        <is>
          <t>Bajo dependencia</t>
        </is>
      </c>
    </row>
    <row r="48">
      <c r="A48" s="8" t="inlineStr">
        <is>
          <t>2026-09</t>
        </is>
      </c>
      <c r="B48" s="8" t="inlineStr">
        <is>
          <t>2026-09-08</t>
        </is>
      </c>
      <c r="C48" s="8" t="inlineStr">
        <is>
          <t>LBM-ORDEN-00094</t>
        </is>
      </c>
      <c r="D48" s="8" t="inlineStr">
        <is>
          <t>DANIEL MOLINA</t>
        </is>
      </c>
      <c r="E48" s="8" t="inlineStr">
        <is>
          <t>[WR-VEXL26-B607M] HONDA WR-V 1.5L A/T EXL 2026 (Azul Cosmico)</t>
        </is>
      </c>
      <c r="F48" s="8" t="n">
        <v>1</v>
      </c>
      <c r="G48" s="9" t="n">
        <v>30704.3</v>
      </c>
      <c r="H48" s="8" t="inlineStr">
        <is>
          <t>Contado</t>
        </is>
      </c>
      <c r="I48" s="8" t="inlineStr">
        <is>
          <t>ANGEL DAVID PUENTES</t>
        </is>
      </c>
      <c r="J48" s="8" t="inlineStr">
        <is>
          <t>Caballero</t>
        </is>
      </c>
      <c r="K48" s="8" t="n">
        <v>33</v>
      </c>
      <c r="L48" s="8" t="inlineStr">
        <is>
          <t>MERIDA (VE)</t>
        </is>
      </c>
      <c r="M48" s="8" t="inlineStr">
        <is>
          <t>(sin registrar)</t>
        </is>
      </c>
      <c r="N48" s="8" t="inlineStr">
        <is>
          <t>Bajo dependencia</t>
        </is>
      </c>
    </row>
    <row r="49">
      <c r="A49" s="10" t="inlineStr">
        <is>
          <t>2026-09</t>
        </is>
      </c>
      <c r="B49" s="10" t="inlineStr">
        <is>
          <t>2026-09-11</t>
        </is>
      </c>
      <c r="C49" s="10" t="inlineStr">
        <is>
          <t>LBM-ORDEN-00095</t>
        </is>
      </c>
      <c r="D49" s="10" t="inlineStr">
        <is>
          <t>NUMA POMPILIO PAREDES PARRA</t>
        </is>
      </c>
      <c r="E49" s="10" t="inlineStr">
        <is>
          <t>[WR-VEXL26-NH-830M] HONDA WR-V 1.5L A/T EXL 2026 (Plata Metalico)</t>
        </is>
      </c>
      <c r="F49" s="10" t="n">
        <v>1</v>
      </c>
      <c r="G49" s="11" t="n">
        <v>30704.71</v>
      </c>
      <c r="H49" s="10" t="inlineStr">
        <is>
          <t>Contado</t>
        </is>
      </c>
      <c r="I49" s="10" t="inlineStr">
        <is>
          <t>ROSMILA VALLADARES</t>
        </is>
      </c>
      <c r="J49" s="10" t="inlineStr">
        <is>
          <t>Caballero</t>
        </is>
      </c>
      <c r="K49" s="10" t="n">
        <v>73</v>
      </c>
      <c r="L49" s="10" t="inlineStr">
        <is>
          <t>MERIDA (VE)</t>
        </is>
      </c>
      <c r="M49" s="10" t="inlineStr">
        <is>
          <t>MEDICO</t>
        </is>
      </c>
      <c r="N49" s="10" t="inlineStr">
        <is>
          <t>Bajo dependencia</t>
        </is>
      </c>
    </row>
    <row r="50">
      <c r="A50" s="8" t="inlineStr">
        <is>
          <t>2026-09</t>
        </is>
      </c>
      <c r="B50" s="8" t="inlineStr">
        <is>
          <t>2026-09-30</t>
        </is>
      </c>
      <c r="C50" s="8" t="inlineStr">
        <is>
          <t>LBM-ORDEN-00111</t>
        </is>
      </c>
      <c r="D50" s="8" t="inlineStr">
        <is>
          <t>ARDICSON ZAMBRANO</t>
        </is>
      </c>
      <c r="E50" s="8" t="inlineStr">
        <is>
          <t>[WR-VEXL26-NH-904M] HONDA WR-V 1.5L A/T EXL 2026 (Gris Metalico)</t>
        </is>
      </c>
      <c r="F50" s="8" t="n">
        <v>1</v>
      </c>
      <c r="G50" s="9" t="n">
        <v>31900</v>
      </c>
      <c r="H50" s="8" t="inlineStr">
        <is>
          <t>Contado</t>
        </is>
      </c>
      <c r="I50" s="8" t="inlineStr">
        <is>
          <t>ROSMILA VALLADARES</t>
        </is>
      </c>
      <c r="J50" s="8" t="inlineStr">
        <is>
          <t>Caballero</t>
        </is>
      </c>
      <c r="K50" s="8" t="n">
        <v>52</v>
      </c>
      <c r="L50" s="8" t="inlineStr">
        <is>
          <t>TACHIRA (VE)</t>
        </is>
      </c>
      <c r="M50" s="8" t="inlineStr">
        <is>
          <t>(sin registrar)</t>
        </is>
      </c>
      <c r="N50" s="8" t="inlineStr">
        <is>
          <t>Bajo dependencia</t>
        </is>
      </c>
    </row>
    <row r="51">
      <c r="A51" s="12" t="inlineStr">
        <is>
          <t>TOTAL</t>
        </is>
      </c>
      <c r="B51" s="12">
        <f>SUM(B4:B50)</f>
        <v/>
      </c>
      <c r="C51" s="12">
        <f>SUM(C4:C50)</f>
        <v/>
      </c>
      <c r="D51" s="12">
        <f>SUM(D4:D50)</f>
        <v/>
      </c>
      <c r="E51" s="12">
        <f>SUM(E4:E50)</f>
        <v/>
      </c>
      <c r="F51" s="12">
        <f>SUM(F4:F50)</f>
        <v/>
      </c>
      <c r="G51" s="13">
        <f>SUM(G4:G50)</f>
        <v/>
      </c>
      <c r="H51" s="12">
        <f>SUM(H4:H50)</f>
        <v/>
      </c>
      <c r="I51" s="12">
        <f>SUM(I4:I50)</f>
        <v/>
      </c>
      <c r="J51" s="12">
        <f>SUM(J4:J50)</f>
        <v/>
      </c>
      <c r="K51" s="12">
        <f>SUM(K4:K50)</f>
        <v/>
      </c>
      <c r="L51" s="12">
        <f>SUM(L4:L50)</f>
        <v/>
      </c>
      <c r="M51" s="12">
        <f>SUM(M4:M50)</f>
        <v/>
      </c>
      <c r="N51" s="12">
        <f>SUM(N4:N50)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2026-10-30T22:55:42Z</dcterms:created>
  <dcterms:modified xsi:type="dcterms:W3CDTF">2026-10-30T22:55:42Z</dcterms:modified>
</cp:coreProperties>
</file>