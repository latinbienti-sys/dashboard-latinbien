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ESIDENCIA\Downloads\"/>
    </mc:Choice>
  </mc:AlternateContent>
  <xr:revisionPtr revIDLastSave="0" documentId="13_ncr:1_{BBAB00A6-ADA6-4AC9-AD4F-4502BC2428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ia de BALANCE 3" sheetId="1" r:id="rId1"/>
  </sheets>
  <definedNames>
    <definedName name="_xlnm._FilterDatabase" localSheetId="0" hidden="1">'Copia de BALANCE 3'!$A$6:$AB$40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39" i="1"/>
  <c r="K38" i="1"/>
  <c r="I38" i="1"/>
  <c r="G38" i="1"/>
  <c r="C38" i="1"/>
  <c r="C34" i="1"/>
  <c r="K28" i="1"/>
  <c r="I28" i="1"/>
  <c r="G28" i="1"/>
  <c r="E27" i="1"/>
  <c r="E26" i="1"/>
  <c r="E25" i="1"/>
  <c r="E24" i="1"/>
  <c r="E23" i="1"/>
  <c r="E22" i="1"/>
  <c r="E21" i="1"/>
  <c r="E20" i="1"/>
  <c r="K18" i="1"/>
  <c r="I18" i="1"/>
  <c r="G18" i="1"/>
  <c r="E17" i="1"/>
  <c r="E16" i="1"/>
  <c r="E15" i="1"/>
  <c r="E14" i="1"/>
  <c r="E13" i="1"/>
  <c r="E12" i="1"/>
  <c r="E11" i="1"/>
  <c r="E10" i="1"/>
  <c r="E9" i="1"/>
  <c r="E8" i="1"/>
  <c r="E7" i="1"/>
  <c r="E18" i="1" s="1"/>
  <c r="B31" i="1" s="1"/>
  <c r="K3" i="1"/>
  <c r="I32" i="1" l="1"/>
  <c r="G32" i="1"/>
  <c r="K32" i="1"/>
  <c r="E28" i="1"/>
  <c r="D31" i="1" s="1"/>
  <c r="E32" i="1" s="1"/>
</calcChain>
</file>

<file path=xl/sharedStrings.xml><?xml version="1.0" encoding="utf-8"?>
<sst xmlns="http://schemas.openxmlformats.org/spreadsheetml/2006/main" count="65" uniqueCount="43">
  <si>
    <t>FECHA</t>
  </si>
  <si>
    <t>BCV</t>
  </si>
  <si>
    <t>BRECHA %</t>
  </si>
  <si>
    <t>TASA</t>
  </si>
  <si>
    <t xml:space="preserve">BALANCE GRUPO DE EMPRESAS </t>
  </si>
  <si>
    <t>LB</t>
  </si>
  <si>
    <t>GR</t>
  </si>
  <si>
    <t>JV</t>
  </si>
  <si>
    <t>ACTIVO</t>
  </si>
  <si>
    <t>RELACION DE SALDOS</t>
  </si>
  <si>
    <t>INVENTARIO</t>
  </si>
  <si>
    <t>FONDO DE AHORRO</t>
  </si>
  <si>
    <t>FONDO DE CAJA</t>
  </si>
  <si>
    <t>INVENTARIO TRANSITO</t>
  </si>
  <si>
    <t>CUENTA POR COBRAR EMPRESAS</t>
  </si>
  <si>
    <t>CUENTA POR COBRAR TECNOLOGIA</t>
  </si>
  <si>
    <t>CUENTA POR COBRAR MOTO</t>
  </si>
  <si>
    <t>REGISTRO DE MARCA</t>
  </si>
  <si>
    <t>SALDO  (TD)</t>
  </si>
  <si>
    <t>SISTEMA ADMINISTRATIVO</t>
  </si>
  <si>
    <t>TOTAL ACTIVO</t>
  </si>
  <si>
    <t>PASIVO</t>
  </si>
  <si>
    <t xml:space="preserve"> TDC SERVICIOS GR 2025</t>
  </si>
  <si>
    <t xml:space="preserve"> TDC SERVICIOS GR 2026</t>
  </si>
  <si>
    <t>ANTICIPOS RECIBIDOS TECNOLOGIA</t>
  </si>
  <si>
    <t>ANTICIPOS RECIBIDOS MOTO</t>
  </si>
  <si>
    <t>CUENTA POR PAGAR OPERACIONES</t>
  </si>
  <si>
    <t>CUENTA POR PAGAR PROVEEDOR TECNOLOGIA</t>
  </si>
  <si>
    <t>CUENTA POR PAGAR PROVEEDOR MOTO</t>
  </si>
  <si>
    <t>14 PRESTAMO BDV 13/3/2026</t>
  </si>
  <si>
    <t>TOTAL PASIVO</t>
  </si>
  <si>
    <t>ACTIVO - PASIVO</t>
  </si>
  <si>
    <t>TOTAL BALANCE</t>
  </si>
  <si>
    <t>CLIENTES ACTIVOS</t>
  </si>
  <si>
    <t>SAV</t>
  </si>
  <si>
    <t>CVG</t>
  </si>
  <si>
    <t>STOCK</t>
  </si>
  <si>
    <t>STOCK TRANSITO</t>
  </si>
  <si>
    <t>ORIGEN DATO</t>
  </si>
  <si>
    <t>WS</t>
  </si>
  <si>
    <t>ERP</t>
  </si>
  <si>
    <t>MANUAL</t>
  </si>
  <si>
    <t>SALDO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</si>
</sst>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540A]#,##0.00"/>
    <numFmt numFmtId="165" formatCode="#,##0.00;\(#,##0.00\)"/>
    <numFmt numFmtId="166" formatCode="_-* #,##0.00\ [$€-1]_-;\-* #,##0.00\ [$€-1]_-;_-* &quot;-&quot;??\ [$€-1]_-;_-@"/>
  </numFmts>
  <fonts count="17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sz val="11"/>
      <color theme="1"/>
      <name val="Calibri"/>
    </font>
    <font>
      <b/>
      <sz val="9"/>
      <color rgb="FF000000"/>
      <name val="Calibri"/>
    </font>
    <font>
      <sz val="10"/>
      <color theme="1"/>
      <name val="Arial"/>
      <scheme val="minor"/>
    </font>
    <font>
      <sz val="10"/>
      <name val="Arial"/>
    </font>
    <font>
      <b/>
      <sz val="12"/>
      <color theme="1"/>
      <name val="Calibri"/>
    </font>
    <font>
      <sz val="9"/>
      <color rgb="FF000000"/>
      <name val="Calibri"/>
    </font>
    <font>
      <sz val="11"/>
      <color rgb="FF000000"/>
      <name val="Calibri"/>
    </font>
    <font>
      <b/>
      <sz val="18"/>
      <color rgb="FF000000"/>
      <name val="Calibri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b/>
      <sz val="11"/>
      <color theme="1"/>
      <name val="Calibri"/>
    </font>
    <font>
      <sz val="9"/>
      <color theme="1"/>
      <name val="Arial"/>
      <scheme val="minor"/>
    </font>
    <font>
      <sz val="8"/>
      <color theme="1"/>
      <name val="Calibri"/>
    </font>
    <font>
      <b/>
      <sz val="13"/>
      <color theme="1"/>
      <name val="Arial"/>
      <scheme val="minor"/>
    </font>
    <font>
      <sz val="12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A9D08E"/>
        <bgColor rgb="FFA9D08E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right"/>
    </xf>
    <xf numFmtId="14" fontId="2" fillId="0" borderId="0" xfId="0" applyNumberFormat="1" applyFont="1"/>
    <xf numFmtId="0" fontId="3" fillId="0" borderId="0" xfId="0" applyFont="1" applyAlignment="1">
      <alignment horizontal="center"/>
    </xf>
    <xf numFmtId="4" fontId="4" fillId="0" borderId="0" xfId="0" applyNumberFormat="1" applyFont="1"/>
    <xf numFmtId="14" fontId="1" fillId="0" borderId="3" xfId="0" applyNumberFormat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4" fontId="7" fillId="0" borderId="0" xfId="0" applyNumberFormat="1" applyFont="1" applyAlignment="1">
      <alignment horizontal="center"/>
    </xf>
    <xf numFmtId="4" fontId="8" fillId="0" borderId="5" xfId="0" applyNumberFormat="1" applyFont="1" applyBorder="1" applyAlignment="1">
      <alignment horizontal="right"/>
    </xf>
    <xf numFmtId="2" fontId="8" fillId="0" borderId="4" xfId="0" applyNumberFormat="1" applyFont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0" fontId="4" fillId="0" borderId="0" xfId="0" applyFont="1"/>
    <xf numFmtId="2" fontId="2" fillId="2" borderId="4" xfId="0" applyNumberFormat="1" applyFont="1" applyFill="1" applyBorder="1" applyAlignment="1">
      <alignment horizontal="right"/>
    </xf>
    <xf numFmtId="0" fontId="10" fillId="3" borderId="4" xfId="0" applyFont="1" applyFill="1" applyBorder="1" applyAlignment="1">
      <alignment horizontal="center"/>
    </xf>
    <xf numFmtId="4" fontId="8" fillId="4" borderId="5" xfId="0" applyNumberFormat="1" applyFont="1" applyFill="1" applyBorder="1" applyAlignment="1">
      <alignment horizontal="right"/>
    </xf>
    <xf numFmtId="4" fontId="8" fillId="4" borderId="4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/>
    </xf>
    <xf numFmtId="164" fontId="11" fillId="0" borderId="0" xfId="0" applyNumberFormat="1" applyFont="1"/>
    <xf numFmtId="4" fontId="10" fillId="0" borderId="0" xfId="0" applyNumberFormat="1" applyFont="1" applyAlignment="1">
      <alignment horizontal="right"/>
    </xf>
    <xf numFmtId="165" fontId="8" fillId="4" borderId="4" xfId="0" applyNumberFormat="1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right"/>
    </xf>
    <xf numFmtId="0" fontId="10" fillId="0" borderId="0" xfId="0" applyFont="1" applyAlignment="1">
      <alignment horizontal="right"/>
    </xf>
    <xf numFmtId="4" fontId="10" fillId="4" borderId="0" xfId="0" applyNumberFormat="1" applyFont="1" applyFill="1" applyAlignment="1">
      <alignment horizontal="right"/>
    </xf>
    <xf numFmtId="165" fontId="2" fillId="4" borderId="4" xfId="0" applyNumberFormat="1" applyFont="1" applyFill="1" applyBorder="1" applyAlignment="1">
      <alignment horizontal="right"/>
    </xf>
    <xf numFmtId="165" fontId="2" fillId="4" borderId="4" xfId="0" applyNumberFormat="1" applyFont="1" applyFill="1" applyBorder="1" applyAlignment="1">
      <alignment vertical="center"/>
    </xf>
    <xf numFmtId="165" fontId="2" fillId="0" borderId="4" xfId="0" applyNumberFormat="1" applyFont="1" applyBorder="1"/>
    <xf numFmtId="165" fontId="2" fillId="4" borderId="4" xfId="0" applyNumberFormat="1" applyFont="1" applyFill="1" applyBorder="1"/>
    <xf numFmtId="165" fontId="10" fillId="3" borderId="4" xfId="0" applyNumberFormat="1" applyFont="1" applyFill="1" applyBorder="1" applyAlignment="1">
      <alignment horizontal="right"/>
    </xf>
    <xf numFmtId="165" fontId="12" fillId="3" borderId="4" xfId="0" applyNumberFormat="1" applyFont="1" applyFill="1" applyBorder="1" applyAlignment="1">
      <alignment horizontal="right"/>
    </xf>
    <xf numFmtId="0" fontId="11" fillId="0" borderId="0" xfId="0" applyFont="1"/>
    <xf numFmtId="0" fontId="10" fillId="5" borderId="4" xfId="0" applyFont="1" applyFill="1" applyBorder="1" applyAlignment="1">
      <alignment horizontal="center"/>
    </xf>
    <xf numFmtId="0" fontId="13" fillId="0" borderId="0" xfId="0" applyFont="1"/>
    <xf numFmtId="0" fontId="8" fillId="4" borderId="0" xfId="0" applyFont="1" applyFill="1" applyAlignment="1">
      <alignment horizontal="right"/>
    </xf>
    <xf numFmtId="4" fontId="10" fillId="0" borderId="0" xfId="0" applyNumberFormat="1" applyFont="1"/>
    <xf numFmtId="164" fontId="11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center"/>
    </xf>
    <xf numFmtId="165" fontId="8" fillId="4" borderId="4" xfId="0" applyNumberFormat="1" applyFont="1" applyFill="1" applyBorder="1"/>
    <xf numFmtId="165" fontId="10" fillId="5" borderId="11" xfId="0" applyNumberFormat="1" applyFont="1" applyFill="1" applyBorder="1" applyAlignment="1">
      <alignment horizontal="right"/>
    </xf>
    <xf numFmtId="165" fontId="10" fillId="5" borderId="4" xfId="0" applyNumberFormat="1" applyFont="1" applyFill="1" applyBorder="1" applyAlignment="1">
      <alignment horizontal="right"/>
    </xf>
    <xf numFmtId="165" fontId="12" fillId="5" borderId="4" xfId="0" applyNumberFormat="1" applyFont="1" applyFill="1" applyBorder="1" applyAlignment="1">
      <alignment horizontal="right"/>
    </xf>
    <xf numFmtId="0" fontId="11" fillId="0" borderId="4" xfId="0" applyFont="1" applyBorder="1"/>
    <xf numFmtId="4" fontId="15" fillId="7" borderId="4" xfId="0" applyNumberFormat="1" applyFont="1" applyFill="1" applyBorder="1"/>
    <xf numFmtId="0" fontId="2" fillId="0" borderId="0" xfId="0" applyFont="1"/>
    <xf numFmtId="0" fontId="11" fillId="8" borderId="4" xfId="0" applyFont="1" applyFill="1" applyBorder="1"/>
    <xf numFmtId="166" fontId="4" fillId="0" borderId="0" xfId="0" applyNumberFormat="1" applyFont="1"/>
    <xf numFmtId="0" fontId="4" fillId="0" borderId="4" xfId="0" applyFont="1" applyBorder="1"/>
    <xf numFmtId="4" fontId="10" fillId="4" borderId="0" xfId="0" applyNumberFormat="1" applyFont="1" applyFill="1"/>
    <xf numFmtId="4" fontId="12" fillId="0" borderId="0" xfId="0" applyNumberFormat="1" applyFont="1"/>
    <xf numFmtId="0" fontId="16" fillId="0" borderId="4" xfId="0" applyFont="1" applyBorder="1"/>
    <xf numFmtId="4" fontId="12" fillId="4" borderId="0" xfId="0" applyNumberFormat="1" applyFont="1" applyFill="1" applyAlignment="1">
      <alignment horizontal="right"/>
    </xf>
    <xf numFmtId="0" fontId="1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8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5" xfId="0" applyFont="1" applyBorder="1"/>
    <xf numFmtId="0" fontId="9" fillId="0" borderId="9" xfId="0" applyFont="1" applyBorder="1" applyAlignment="1">
      <alignment horizontal="center"/>
    </xf>
    <xf numFmtId="0" fontId="5" fillId="0" borderId="12" xfId="0" applyFont="1" applyBorder="1"/>
    <xf numFmtId="0" fontId="10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4" fontId="10" fillId="0" borderId="1" xfId="0" applyNumberFormat="1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4" fontId="10" fillId="0" borderId="2" xfId="0" applyNumberFormat="1" applyFont="1" applyBorder="1" applyAlignment="1">
      <alignment horizontal="center"/>
    </xf>
    <xf numFmtId="4" fontId="7" fillId="9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U1008"/>
  <sheetViews>
    <sheetView showGridLines="0" tabSelected="1" workbookViewId="0">
      <selection activeCell="F3" sqref="F3"/>
    </sheetView>
  </sheetViews>
  <sheetFormatPr baseColWidth="10" defaultColWidth="12.5703125" defaultRowHeight="15.75" customHeight="1" x14ac:dyDescent="0.2"/>
  <cols>
    <col min="2" max="2" width="14.5703125" customWidth="1"/>
    <col min="4" max="4" width="13.42578125" customWidth="1"/>
    <col min="5" max="5" width="15.85546875" customWidth="1"/>
    <col min="6" max="6" width="0.42578125" customWidth="1"/>
    <col min="7" max="7" width="15.85546875" customWidth="1"/>
    <col min="8" max="8" width="0.42578125" customWidth="1"/>
    <col min="9" max="9" width="14.42578125" customWidth="1"/>
    <col min="10" max="10" width="0.42578125" customWidth="1"/>
    <col min="11" max="12" width="14.42578125" customWidth="1"/>
  </cols>
  <sheetData>
    <row r="1" spans="2:21" x14ac:dyDescent="0.25">
      <c r="B1" s="1"/>
      <c r="C1" s="1"/>
      <c r="D1" s="1"/>
      <c r="E1" s="2"/>
      <c r="G1" s="2"/>
      <c r="I1" s="3"/>
      <c r="K1" s="3"/>
      <c r="M1" s="4"/>
      <c r="N1" s="4"/>
      <c r="U1" s="5"/>
    </row>
    <row r="2" spans="2:21" x14ac:dyDescent="0.25">
      <c r="B2" s="52" t="s">
        <v>0</v>
      </c>
      <c r="C2" s="53"/>
      <c r="D2" s="54"/>
      <c r="E2" s="6">
        <v>46295</v>
      </c>
      <c r="G2" s="7" t="s">
        <v>1</v>
      </c>
      <c r="I2" s="8">
        <v>748</v>
      </c>
      <c r="K2" s="8" t="s">
        <v>2</v>
      </c>
      <c r="M2" s="75" t="s">
        <v>38</v>
      </c>
      <c r="N2" s="4"/>
      <c r="U2" s="5"/>
    </row>
    <row r="3" spans="2:21" ht="15" x14ac:dyDescent="0.25">
      <c r="B3" s="55" t="s">
        <v>3</v>
      </c>
      <c r="C3" s="53"/>
      <c r="D3" s="54"/>
      <c r="E3" s="10"/>
      <c r="G3" s="11">
        <v>866.56</v>
      </c>
      <c r="I3" s="12">
        <v>963</v>
      </c>
      <c r="J3" s="13"/>
      <c r="K3" s="14">
        <f>((I3/G3)-1)*100</f>
        <v>11.129062038404737</v>
      </c>
      <c r="M3" s="9"/>
      <c r="N3" s="9"/>
      <c r="O3" s="5"/>
      <c r="U3" s="5"/>
    </row>
    <row r="4" spans="2:21" ht="12.75" x14ac:dyDescent="0.2">
      <c r="B4" s="56" t="s">
        <v>4</v>
      </c>
      <c r="C4" s="57"/>
      <c r="D4" s="57"/>
      <c r="E4" s="58"/>
      <c r="G4" s="62" t="s">
        <v>5</v>
      </c>
      <c r="I4" s="62" t="s">
        <v>6</v>
      </c>
      <c r="K4" s="62" t="s">
        <v>7</v>
      </c>
      <c r="M4" s="9"/>
      <c r="N4" s="9"/>
      <c r="O4" s="5"/>
      <c r="U4" s="5"/>
    </row>
    <row r="5" spans="2:21" ht="12.75" x14ac:dyDescent="0.2">
      <c r="B5" s="59"/>
      <c r="C5" s="60"/>
      <c r="D5" s="60"/>
      <c r="E5" s="61"/>
      <c r="G5" s="63"/>
      <c r="I5" s="63"/>
      <c r="K5" s="63"/>
      <c r="M5" s="9"/>
      <c r="N5" s="9"/>
      <c r="U5" s="5"/>
    </row>
    <row r="6" spans="2:21" ht="15" x14ac:dyDescent="0.25">
      <c r="B6" s="64" t="s">
        <v>8</v>
      </c>
      <c r="C6" s="53"/>
      <c r="D6" s="53"/>
      <c r="E6" s="54"/>
      <c r="G6" s="15"/>
      <c r="I6" s="15"/>
      <c r="K6" s="15"/>
      <c r="M6" s="9"/>
      <c r="N6" s="9"/>
      <c r="U6" s="5"/>
    </row>
    <row r="7" spans="2:21" ht="15" x14ac:dyDescent="0.25">
      <c r="B7" s="65" t="s">
        <v>9</v>
      </c>
      <c r="C7" s="53"/>
      <c r="D7" s="54"/>
      <c r="E7" s="16">
        <f t="shared" ref="E7:E17" si="0">G7+I7+K7</f>
        <v>0</v>
      </c>
      <c r="G7" s="17"/>
      <c r="I7" s="18"/>
      <c r="K7" s="18"/>
      <c r="M7" s="9" t="s">
        <v>39</v>
      </c>
      <c r="N7" s="9"/>
      <c r="O7" s="5"/>
      <c r="P7" s="5"/>
      <c r="U7" s="5"/>
    </row>
    <row r="8" spans="2:21" ht="15" x14ac:dyDescent="0.25">
      <c r="B8" s="66" t="s">
        <v>10</v>
      </c>
      <c r="C8" s="53"/>
      <c r="D8" s="54"/>
      <c r="E8" s="16">
        <f t="shared" si="0"/>
        <v>0</v>
      </c>
      <c r="F8" s="19"/>
      <c r="G8" s="17"/>
      <c r="I8" s="18"/>
      <c r="K8" s="18"/>
      <c r="L8" s="19"/>
      <c r="M8" s="9" t="s">
        <v>40</v>
      </c>
      <c r="N8" s="9"/>
      <c r="O8" s="5"/>
      <c r="P8" s="5"/>
      <c r="U8" s="5"/>
    </row>
    <row r="9" spans="2:21" ht="15" x14ac:dyDescent="0.25">
      <c r="B9" s="66" t="s">
        <v>11</v>
      </c>
      <c r="C9" s="53"/>
      <c r="D9" s="54"/>
      <c r="E9" s="16">
        <f t="shared" si="0"/>
        <v>0</v>
      </c>
      <c r="F9" s="20"/>
      <c r="G9" s="21"/>
      <c r="H9" s="20"/>
      <c r="I9" s="22"/>
      <c r="J9" s="20"/>
      <c r="K9" s="22"/>
      <c r="L9" s="20"/>
      <c r="M9" s="9" t="s">
        <v>39</v>
      </c>
      <c r="N9" s="9"/>
      <c r="O9" s="5"/>
      <c r="P9" s="5"/>
      <c r="U9" s="5"/>
    </row>
    <row r="10" spans="2:21" ht="15" x14ac:dyDescent="0.25">
      <c r="B10" s="66" t="s">
        <v>12</v>
      </c>
      <c r="C10" s="53"/>
      <c r="D10" s="54"/>
      <c r="E10" s="16">
        <f t="shared" si="0"/>
        <v>0</v>
      </c>
      <c r="F10" s="23"/>
      <c r="G10" s="21"/>
      <c r="H10" s="23"/>
      <c r="I10" s="22"/>
      <c r="J10" s="23"/>
      <c r="K10" s="22"/>
      <c r="L10" s="23"/>
      <c r="M10" s="9" t="s">
        <v>39</v>
      </c>
      <c r="N10" s="9"/>
      <c r="O10" s="5"/>
      <c r="P10" s="5"/>
      <c r="U10" s="5"/>
    </row>
    <row r="11" spans="2:21" ht="15" x14ac:dyDescent="0.25">
      <c r="B11" s="66" t="s">
        <v>13</v>
      </c>
      <c r="C11" s="53"/>
      <c r="D11" s="54"/>
      <c r="E11" s="16">
        <f t="shared" si="0"/>
        <v>0</v>
      </c>
      <c r="F11" s="20"/>
      <c r="G11" s="21"/>
      <c r="H11" s="24"/>
      <c r="I11" s="21"/>
      <c r="J11" s="24"/>
      <c r="K11" s="25"/>
      <c r="L11" s="20"/>
      <c r="M11" s="9" t="s">
        <v>40</v>
      </c>
      <c r="N11" s="9"/>
      <c r="O11" s="5"/>
      <c r="P11" s="5"/>
      <c r="U11" s="5"/>
    </row>
    <row r="12" spans="2:21" ht="15" x14ac:dyDescent="0.25">
      <c r="B12" s="67" t="s">
        <v>14</v>
      </c>
      <c r="C12" s="53"/>
      <c r="D12" s="54"/>
      <c r="E12" s="16">
        <f t="shared" si="0"/>
        <v>0</v>
      </c>
      <c r="F12" s="13"/>
      <c r="G12" s="21"/>
      <c r="I12" s="25"/>
      <c r="K12" s="25"/>
      <c r="M12" s="9" t="s">
        <v>40</v>
      </c>
      <c r="N12" s="9"/>
      <c r="O12" s="5"/>
      <c r="P12" s="5"/>
      <c r="U12" s="5"/>
    </row>
    <row r="13" spans="2:21" ht="15" x14ac:dyDescent="0.25">
      <c r="B13" s="66" t="s">
        <v>15</v>
      </c>
      <c r="C13" s="53"/>
      <c r="D13" s="54"/>
      <c r="E13" s="16">
        <f t="shared" si="0"/>
        <v>0</v>
      </c>
      <c r="F13" s="13"/>
      <c r="G13" s="17"/>
      <c r="I13" s="18"/>
      <c r="K13" s="18"/>
      <c r="M13" s="9" t="s">
        <v>40</v>
      </c>
      <c r="N13" s="9"/>
      <c r="O13" s="5"/>
      <c r="P13" s="5"/>
      <c r="U13" s="5"/>
    </row>
    <row r="14" spans="2:21" ht="15" x14ac:dyDescent="0.25">
      <c r="B14" s="66" t="s">
        <v>16</v>
      </c>
      <c r="C14" s="53"/>
      <c r="D14" s="54"/>
      <c r="E14" s="16">
        <f t="shared" si="0"/>
        <v>0</v>
      </c>
      <c r="F14" s="13"/>
      <c r="G14" s="17"/>
      <c r="I14" s="18"/>
      <c r="K14" s="18"/>
      <c r="M14" s="9" t="s">
        <v>40</v>
      </c>
      <c r="N14" s="9"/>
      <c r="O14" s="5"/>
      <c r="P14" s="5"/>
      <c r="U14" s="5"/>
    </row>
    <row r="15" spans="2:21" ht="15" x14ac:dyDescent="0.25">
      <c r="B15" s="68" t="s">
        <v>17</v>
      </c>
      <c r="C15" s="53"/>
      <c r="D15" s="54"/>
      <c r="E15" s="16">
        <f t="shared" si="0"/>
        <v>0</v>
      </c>
      <c r="G15" s="26"/>
      <c r="I15" s="22"/>
      <c r="K15" s="22"/>
      <c r="M15" s="9" t="s">
        <v>42</v>
      </c>
      <c r="N15" s="9"/>
      <c r="O15" s="5"/>
      <c r="P15" s="5"/>
      <c r="U15" s="5"/>
    </row>
    <row r="16" spans="2:21" ht="15" x14ac:dyDescent="0.25">
      <c r="B16" s="68" t="s">
        <v>18</v>
      </c>
      <c r="C16" s="53"/>
      <c r="D16" s="54"/>
      <c r="E16" s="16">
        <f t="shared" si="0"/>
        <v>0</v>
      </c>
      <c r="G16" s="26"/>
      <c r="I16" s="27"/>
      <c r="K16" s="28"/>
      <c r="M16" s="9" t="s">
        <v>39</v>
      </c>
      <c r="N16" s="9"/>
      <c r="O16" s="5"/>
      <c r="P16" s="5"/>
      <c r="U16" s="5"/>
    </row>
    <row r="17" spans="2:21" ht="15" x14ac:dyDescent="0.25">
      <c r="B17" s="68" t="s">
        <v>19</v>
      </c>
      <c r="C17" s="53"/>
      <c r="D17" s="54"/>
      <c r="E17" s="16">
        <f t="shared" si="0"/>
        <v>0</v>
      </c>
      <c r="G17" s="26"/>
      <c r="I17" s="27"/>
      <c r="K17" s="27"/>
      <c r="M17" s="9" t="s">
        <v>42</v>
      </c>
      <c r="N17" s="9"/>
      <c r="O17" s="5"/>
      <c r="P17" s="5"/>
      <c r="U17" s="5"/>
    </row>
    <row r="18" spans="2:21" ht="15" x14ac:dyDescent="0.25">
      <c r="B18" s="64" t="s">
        <v>20</v>
      </c>
      <c r="C18" s="53"/>
      <c r="D18" s="54"/>
      <c r="E18" s="29">
        <f>SUM(E7:E17)</f>
        <v>0</v>
      </c>
      <c r="G18" s="29">
        <f>SUM(G7:G17)</f>
        <v>0</v>
      </c>
      <c r="I18" s="30">
        <f>SUM(I7:I17)</f>
        <v>0</v>
      </c>
      <c r="K18" s="30">
        <f>SUM(K7:K17)</f>
        <v>0</v>
      </c>
      <c r="M18" s="9"/>
      <c r="N18" s="9"/>
      <c r="O18" s="5"/>
      <c r="P18" s="5"/>
      <c r="U18" s="5"/>
    </row>
    <row r="19" spans="2:21" ht="15" x14ac:dyDescent="0.25">
      <c r="B19" s="69" t="s">
        <v>21</v>
      </c>
      <c r="C19" s="53"/>
      <c r="D19" s="53"/>
      <c r="E19" s="54"/>
      <c r="F19" s="31"/>
      <c r="G19" s="32"/>
      <c r="I19" s="32"/>
      <c r="K19" s="32"/>
      <c r="L19" s="31"/>
      <c r="M19" s="9"/>
      <c r="N19" s="33"/>
      <c r="O19" s="5"/>
      <c r="P19" s="5"/>
      <c r="U19" s="5"/>
    </row>
    <row r="20" spans="2:21" ht="15" x14ac:dyDescent="0.25">
      <c r="B20" s="66" t="s">
        <v>22</v>
      </c>
      <c r="C20" s="53"/>
      <c r="D20" s="54"/>
      <c r="E20" s="21">
        <f t="shared" ref="E20:E27" si="1">G20+I20+K20</f>
        <v>0</v>
      </c>
      <c r="F20" s="34"/>
      <c r="G20" s="21"/>
      <c r="I20" s="25"/>
      <c r="K20" s="25"/>
      <c r="L20" s="34"/>
      <c r="M20" s="9" t="s">
        <v>42</v>
      </c>
      <c r="N20" s="9"/>
      <c r="O20" s="5"/>
      <c r="P20" s="5"/>
      <c r="U20" s="5"/>
    </row>
    <row r="21" spans="2:21" ht="15" x14ac:dyDescent="0.25">
      <c r="B21" s="66" t="s">
        <v>23</v>
      </c>
      <c r="C21" s="53"/>
      <c r="D21" s="54"/>
      <c r="E21" s="21">
        <f t="shared" si="1"/>
        <v>0</v>
      </c>
      <c r="F21" s="35"/>
      <c r="G21" s="21"/>
      <c r="I21" s="25"/>
      <c r="K21" s="25"/>
      <c r="L21" s="35"/>
      <c r="M21" s="9" t="s">
        <v>39</v>
      </c>
      <c r="N21" s="9"/>
      <c r="O21" s="5"/>
      <c r="P21" s="5"/>
      <c r="U21" s="5"/>
    </row>
    <row r="22" spans="2:21" ht="15" x14ac:dyDescent="0.25">
      <c r="B22" s="66" t="s">
        <v>24</v>
      </c>
      <c r="C22" s="53"/>
      <c r="D22" s="54"/>
      <c r="E22" s="21">
        <f t="shared" si="1"/>
        <v>0</v>
      </c>
      <c r="F22" s="35"/>
      <c r="G22" s="21"/>
      <c r="I22" s="25"/>
      <c r="K22" s="25"/>
      <c r="L22" s="35"/>
      <c r="M22" s="9" t="s">
        <v>40</v>
      </c>
      <c r="N22" s="9"/>
      <c r="O22" s="5"/>
      <c r="P22" s="5"/>
      <c r="U22" s="5"/>
    </row>
    <row r="23" spans="2:21" ht="15" x14ac:dyDescent="0.25">
      <c r="B23" s="66" t="s">
        <v>25</v>
      </c>
      <c r="C23" s="53"/>
      <c r="D23" s="54"/>
      <c r="E23" s="21">
        <f t="shared" si="1"/>
        <v>0</v>
      </c>
      <c r="F23" s="35"/>
      <c r="G23" s="21"/>
      <c r="I23" s="25"/>
      <c r="K23" s="25"/>
      <c r="L23" s="36"/>
      <c r="M23" s="9" t="s">
        <v>40</v>
      </c>
      <c r="N23" s="9"/>
      <c r="O23" s="5"/>
      <c r="P23" s="5"/>
      <c r="U23" s="5"/>
    </row>
    <row r="24" spans="2:21" ht="15" x14ac:dyDescent="0.25">
      <c r="B24" s="66" t="s">
        <v>26</v>
      </c>
      <c r="C24" s="53"/>
      <c r="D24" s="54"/>
      <c r="E24" s="21">
        <f t="shared" si="1"/>
        <v>0</v>
      </c>
      <c r="F24" s="36"/>
      <c r="G24" s="21"/>
      <c r="I24" s="25"/>
      <c r="K24" s="25"/>
      <c r="L24" s="36"/>
      <c r="M24" s="9" t="s">
        <v>40</v>
      </c>
      <c r="N24" s="9"/>
      <c r="O24" s="5"/>
      <c r="P24" s="5"/>
      <c r="U24" s="5"/>
    </row>
    <row r="25" spans="2:21" ht="15" x14ac:dyDescent="0.25">
      <c r="B25" s="70" t="s">
        <v>27</v>
      </c>
      <c r="C25" s="53"/>
      <c r="D25" s="54"/>
      <c r="E25" s="21">
        <f t="shared" si="1"/>
        <v>0</v>
      </c>
      <c r="F25" s="37"/>
      <c r="G25" s="38"/>
      <c r="I25" s="22"/>
      <c r="K25" s="22"/>
      <c r="L25" s="37"/>
      <c r="M25" s="9" t="s">
        <v>40</v>
      </c>
      <c r="N25" s="9"/>
      <c r="O25" s="5"/>
      <c r="P25" s="5"/>
      <c r="U25" s="5"/>
    </row>
    <row r="26" spans="2:21" ht="15" x14ac:dyDescent="0.25">
      <c r="B26" s="70" t="s">
        <v>28</v>
      </c>
      <c r="C26" s="53"/>
      <c r="D26" s="54"/>
      <c r="E26" s="21">
        <f t="shared" si="1"/>
        <v>0</v>
      </c>
      <c r="F26" s="37"/>
      <c r="G26" s="38"/>
      <c r="I26" s="22"/>
      <c r="K26" s="22"/>
      <c r="L26" s="5"/>
      <c r="M26" s="9" t="s">
        <v>40</v>
      </c>
      <c r="N26" s="9"/>
      <c r="O26" s="5"/>
      <c r="P26" s="5"/>
      <c r="U26" s="5"/>
    </row>
    <row r="27" spans="2:21" ht="15" x14ac:dyDescent="0.25">
      <c r="B27" s="70" t="s">
        <v>29</v>
      </c>
      <c r="C27" s="53"/>
      <c r="D27" s="54"/>
      <c r="E27" s="21">
        <f t="shared" si="1"/>
        <v>0</v>
      </c>
      <c r="F27" s="5"/>
      <c r="G27" s="17"/>
      <c r="I27" s="25"/>
      <c r="K27" s="25"/>
      <c r="L27" s="5"/>
      <c r="M27" s="9" t="s">
        <v>41</v>
      </c>
      <c r="N27" s="9"/>
      <c r="O27" s="5"/>
      <c r="P27" s="5"/>
      <c r="U27" s="5"/>
    </row>
    <row r="28" spans="2:21" ht="15" x14ac:dyDescent="0.25">
      <c r="B28" s="69" t="s">
        <v>30</v>
      </c>
      <c r="C28" s="53"/>
      <c r="D28" s="54"/>
      <c r="E28" s="39">
        <f>SUM(E20:E27)</f>
        <v>0</v>
      </c>
      <c r="G28" s="40">
        <f>SUM(G20:G27)</f>
        <v>0</v>
      </c>
      <c r="I28" s="41">
        <f>SUM(I20:I27)</f>
        <v>0</v>
      </c>
      <c r="K28" s="41">
        <f>SUM(K20:K27)</f>
        <v>0</v>
      </c>
      <c r="M28" s="9"/>
      <c r="N28" s="9"/>
      <c r="O28" s="5"/>
      <c r="P28" s="5"/>
      <c r="U28" s="5"/>
    </row>
    <row r="29" spans="2:21" ht="15" x14ac:dyDescent="0.25">
      <c r="B29" s="72" t="s">
        <v>31</v>
      </c>
      <c r="C29" s="53"/>
      <c r="D29" s="53"/>
      <c r="E29" s="54"/>
      <c r="M29" s="9"/>
      <c r="N29" s="9"/>
      <c r="O29" s="5"/>
      <c r="P29" s="5"/>
      <c r="U29" s="5"/>
    </row>
    <row r="30" spans="2:21" ht="15" x14ac:dyDescent="0.25">
      <c r="B30" s="66" t="s">
        <v>20</v>
      </c>
      <c r="C30" s="54"/>
      <c r="D30" s="73" t="s">
        <v>30</v>
      </c>
      <c r="E30" s="54"/>
      <c r="M30" s="9"/>
      <c r="N30" s="9"/>
      <c r="O30" s="5"/>
      <c r="P30" s="5"/>
      <c r="U30" s="5"/>
    </row>
    <row r="31" spans="2:21" ht="15" x14ac:dyDescent="0.25">
      <c r="B31" s="71">
        <f>E18</f>
        <v>0</v>
      </c>
      <c r="C31" s="54"/>
      <c r="D31" s="74">
        <f>E28</f>
        <v>0</v>
      </c>
      <c r="E31" s="54"/>
      <c r="M31" s="9"/>
      <c r="N31" s="9"/>
      <c r="O31" s="5"/>
      <c r="P31" s="5"/>
      <c r="U31" s="5"/>
    </row>
    <row r="32" spans="2:21" ht="16.5" x14ac:dyDescent="0.25">
      <c r="D32" s="42" t="s">
        <v>32</v>
      </c>
      <c r="E32" s="43">
        <f>B31-D31</f>
        <v>0</v>
      </c>
      <c r="G32" s="43">
        <f>G18-G28</f>
        <v>0</v>
      </c>
      <c r="I32" s="43">
        <f>I18-I28</f>
        <v>0</v>
      </c>
      <c r="K32" s="43">
        <f>K18-K28</f>
        <v>0</v>
      </c>
      <c r="M32" s="9"/>
      <c r="N32" s="9"/>
      <c r="O32" s="5"/>
      <c r="P32" s="5"/>
      <c r="U32" s="5"/>
    </row>
    <row r="33" spans="2:21" ht="15" x14ac:dyDescent="0.25">
      <c r="I33" s="44"/>
      <c r="K33" s="44"/>
      <c r="M33" s="9"/>
      <c r="N33" s="9"/>
      <c r="O33" s="5"/>
      <c r="P33" s="5"/>
      <c r="U33" s="5"/>
    </row>
    <row r="34" spans="2:21" ht="15" x14ac:dyDescent="0.25">
      <c r="B34" s="45" t="s">
        <v>33</v>
      </c>
      <c r="C34" s="45">
        <f>C35+C36</f>
        <v>0</v>
      </c>
      <c r="E34" s="46"/>
      <c r="I34" s="44"/>
      <c r="K34" s="44"/>
      <c r="M34" s="9"/>
      <c r="N34" s="9"/>
      <c r="O34" s="5"/>
      <c r="P34" s="5"/>
      <c r="U34" s="5"/>
    </row>
    <row r="35" spans="2:21" ht="15" x14ac:dyDescent="0.25">
      <c r="B35" s="47" t="s">
        <v>34</v>
      </c>
      <c r="C35" s="47"/>
      <c r="I35" s="44"/>
      <c r="K35" s="44"/>
      <c r="M35" s="9" t="s">
        <v>40</v>
      </c>
      <c r="N35" s="9"/>
      <c r="O35" s="5"/>
      <c r="P35" s="5"/>
      <c r="U35" s="5"/>
    </row>
    <row r="36" spans="2:21" ht="15" x14ac:dyDescent="0.25">
      <c r="B36" s="47" t="s">
        <v>35</v>
      </c>
      <c r="C36" s="47"/>
      <c r="I36" s="44"/>
      <c r="K36" s="44"/>
      <c r="M36" s="9" t="s">
        <v>40</v>
      </c>
      <c r="N36" s="9"/>
      <c r="P36" s="24"/>
      <c r="U36" s="5"/>
    </row>
    <row r="37" spans="2:21" ht="15" x14ac:dyDescent="0.25">
      <c r="I37" s="44"/>
      <c r="K37" s="44"/>
      <c r="M37" s="9"/>
      <c r="N37" s="9"/>
      <c r="P37" s="48"/>
      <c r="U37" s="5"/>
    </row>
    <row r="38" spans="2:21" ht="15" x14ac:dyDescent="0.25">
      <c r="B38" s="45" t="s">
        <v>10</v>
      </c>
      <c r="C38" s="45">
        <f>C39+C40</f>
        <v>0</v>
      </c>
      <c r="G38" s="45">
        <f>G39+G40</f>
        <v>0</v>
      </c>
      <c r="I38" s="45">
        <f>I39+I40</f>
        <v>0</v>
      </c>
      <c r="K38" s="45">
        <f>K39+K40</f>
        <v>0</v>
      </c>
      <c r="M38" s="9"/>
      <c r="N38" s="9"/>
      <c r="P38" s="49"/>
      <c r="U38" s="5"/>
    </row>
    <row r="39" spans="2:21" x14ac:dyDescent="0.25">
      <c r="B39" s="47" t="s">
        <v>36</v>
      </c>
      <c r="C39" s="50">
        <f t="shared" ref="C39:C40" si="2">G39+I39+K39</f>
        <v>0</v>
      </c>
      <c r="G39" s="50"/>
      <c r="I39" s="50"/>
      <c r="K39" s="50"/>
      <c r="M39" s="9" t="s">
        <v>40</v>
      </c>
      <c r="N39" s="9"/>
      <c r="P39" s="51"/>
      <c r="U39" s="5"/>
    </row>
    <row r="40" spans="2:21" ht="15" x14ac:dyDescent="0.25">
      <c r="B40" s="47" t="s">
        <v>37</v>
      </c>
      <c r="C40" s="47">
        <f t="shared" si="2"/>
        <v>0</v>
      </c>
      <c r="G40" s="47"/>
      <c r="H40" s="13">
        <v>1</v>
      </c>
      <c r="I40" s="47"/>
      <c r="K40" s="47"/>
      <c r="M40" s="9" t="s">
        <v>40</v>
      </c>
      <c r="N40" s="9"/>
      <c r="P40" s="35"/>
      <c r="U40" s="5"/>
    </row>
    <row r="41" spans="2:21" ht="15" x14ac:dyDescent="0.25">
      <c r="I41" s="44"/>
      <c r="K41" s="44"/>
      <c r="M41" s="33"/>
      <c r="N41" s="33"/>
      <c r="P41" s="51"/>
      <c r="U41" s="5"/>
    </row>
    <row r="42" spans="2:21" ht="15" x14ac:dyDescent="0.25">
      <c r="I42" s="44"/>
      <c r="K42" s="44"/>
      <c r="M42" s="33"/>
      <c r="N42" s="33"/>
      <c r="P42" s="51"/>
      <c r="U42" s="5"/>
    </row>
    <row r="43" spans="2:21" ht="15" x14ac:dyDescent="0.25">
      <c r="I43" s="44"/>
      <c r="K43" s="44"/>
      <c r="M43" s="33"/>
      <c r="N43" s="33"/>
      <c r="P43" s="51"/>
      <c r="U43" s="5"/>
    </row>
    <row r="44" spans="2:21" ht="15" x14ac:dyDescent="0.25">
      <c r="I44" s="44"/>
      <c r="K44" s="44"/>
      <c r="M44" s="33"/>
      <c r="N44" s="33"/>
      <c r="P44" s="51"/>
      <c r="U44" s="5"/>
    </row>
    <row r="45" spans="2:21" ht="15" x14ac:dyDescent="0.25">
      <c r="I45" s="44"/>
      <c r="K45" s="44"/>
      <c r="M45" s="33"/>
      <c r="N45" s="33"/>
      <c r="P45" s="51"/>
      <c r="U45" s="5"/>
    </row>
    <row r="46" spans="2:21" ht="15" x14ac:dyDescent="0.25">
      <c r="I46" s="44"/>
      <c r="K46" s="44"/>
      <c r="M46" s="33"/>
      <c r="N46" s="33"/>
      <c r="P46" s="51"/>
      <c r="U46" s="5"/>
    </row>
    <row r="47" spans="2:21" ht="15" x14ac:dyDescent="0.25">
      <c r="I47" s="44"/>
      <c r="K47" s="44"/>
      <c r="M47" s="33"/>
      <c r="N47" s="33"/>
      <c r="P47" s="51"/>
      <c r="U47" s="5"/>
    </row>
    <row r="48" spans="2:21" ht="15" x14ac:dyDescent="0.25">
      <c r="I48" s="44"/>
      <c r="K48" s="44"/>
      <c r="M48" s="33"/>
      <c r="N48" s="33"/>
      <c r="U48" s="5"/>
    </row>
    <row r="49" spans="9:21" ht="15" x14ac:dyDescent="0.25">
      <c r="I49" s="44"/>
      <c r="K49" s="44"/>
      <c r="M49" s="33"/>
      <c r="N49" s="33"/>
      <c r="U49" s="5"/>
    </row>
    <row r="50" spans="9:21" ht="15" x14ac:dyDescent="0.25">
      <c r="I50" s="44"/>
      <c r="K50" s="44"/>
      <c r="M50" s="33"/>
      <c r="N50" s="33"/>
      <c r="U50" s="5"/>
    </row>
    <row r="51" spans="9:21" ht="15" x14ac:dyDescent="0.25">
      <c r="I51" s="44"/>
      <c r="K51" s="44"/>
      <c r="M51" s="33"/>
      <c r="N51" s="33"/>
      <c r="U51" s="5"/>
    </row>
    <row r="52" spans="9:21" ht="15" x14ac:dyDescent="0.25">
      <c r="I52" s="44"/>
      <c r="K52" s="44"/>
      <c r="M52" s="33"/>
      <c r="N52" s="33"/>
      <c r="U52" s="5"/>
    </row>
    <row r="53" spans="9:21" ht="15" x14ac:dyDescent="0.25">
      <c r="I53" s="44"/>
      <c r="K53" s="44"/>
      <c r="M53" s="33"/>
      <c r="N53" s="33"/>
      <c r="U53" s="5"/>
    </row>
    <row r="54" spans="9:21" ht="15" x14ac:dyDescent="0.25">
      <c r="I54" s="44"/>
      <c r="K54" s="44"/>
      <c r="M54" s="33"/>
      <c r="N54" s="33"/>
      <c r="U54" s="5"/>
    </row>
    <row r="55" spans="9:21" ht="15" x14ac:dyDescent="0.25">
      <c r="I55" s="44"/>
      <c r="K55" s="44"/>
      <c r="M55" s="33"/>
      <c r="N55" s="33"/>
      <c r="U55" s="5"/>
    </row>
    <row r="56" spans="9:21" ht="15" x14ac:dyDescent="0.25">
      <c r="I56" s="44"/>
      <c r="K56" s="44"/>
      <c r="M56" s="33"/>
      <c r="N56" s="33"/>
      <c r="U56" s="5"/>
    </row>
    <row r="57" spans="9:21" ht="15" x14ac:dyDescent="0.25">
      <c r="I57" s="44"/>
      <c r="K57" s="44"/>
      <c r="M57" s="33"/>
      <c r="N57" s="33"/>
      <c r="U57" s="5"/>
    </row>
    <row r="58" spans="9:21" ht="15" x14ac:dyDescent="0.25">
      <c r="I58" s="44"/>
      <c r="K58" s="44"/>
      <c r="M58" s="33"/>
      <c r="N58" s="33"/>
      <c r="U58" s="5"/>
    </row>
    <row r="59" spans="9:21" ht="15" x14ac:dyDescent="0.25">
      <c r="I59" s="44"/>
      <c r="K59" s="44"/>
      <c r="M59" s="33"/>
      <c r="N59" s="33"/>
      <c r="U59" s="5"/>
    </row>
    <row r="60" spans="9:21" ht="15" x14ac:dyDescent="0.25">
      <c r="I60" s="44"/>
      <c r="K60" s="44"/>
      <c r="M60" s="33"/>
      <c r="N60" s="33"/>
      <c r="U60" s="5"/>
    </row>
    <row r="61" spans="9:21" ht="15" x14ac:dyDescent="0.25">
      <c r="I61" s="44"/>
      <c r="K61" s="44"/>
      <c r="M61" s="33"/>
      <c r="N61" s="33"/>
      <c r="U61" s="5"/>
    </row>
    <row r="62" spans="9:21" ht="15" x14ac:dyDescent="0.25">
      <c r="I62" s="44"/>
      <c r="K62" s="44"/>
      <c r="M62" s="33"/>
      <c r="N62" s="33"/>
      <c r="U62" s="5"/>
    </row>
    <row r="63" spans="9:21" ht="15" x14ac:dyDescent="0.25">
      <c r="I63" s="44"/>
      <c r="K63" s="44"/>
      <c r="M63" s="33"/>
      <c r="N63" s="33"/>
      <c r="U63" s="5"/>
    </row>
    <row r="64" spans="9:21" ht="15" x14ac:dyDescent="0.25">
      <c r="I64" s="44"/>
      <c r="K64" s="44"/>
      <c r="M64" s="33"/>
      <c r="N64" s="33"/>
      <c r="U64" s="5"/>
    </row>
    <row r="65" spans="9:21" ht="15" x14ac:dyDescent="0.25">
      <c r="I65" s="44"/>
      <c r="K65" s="44"/>
      <c r="M65" s="33"/>
      <c r="N65" s="33"/>
      <c r="U65" s="5"/>
    </row>
    <row r="66" spans="9:21" ht="15" x14ac:dyDescent="0.25">
      <c r="I66" s="44"/>
      <c r="K66" s="44"/>
      <c r="M66" s="33"/>
      <c r="N66" s="33"/>
      <c r="U66" s="5"/>
    </row>
    <row r="67" spans="9:21" ht="15" x14ac:dyDescent="0.25">
      <c r="I67" s="44"/>
      <c r="K67" s="44"/>
      <c r="M67" s="33"/>
      <c r="N67" s="33"/>
      <c r="U67" s="5"/>
    </row>
    <row r="68" spans="9:21" ht="15" x14ac:dyDescent="0.25">
      <c r="I68" s="44"/>
      <c r="K68" s="44"/>
      <c r="M68" s="33"/>
      <c r="N68" s="33"/>
      <c r="U68" s="5"/>
    </row>
    <row r="69" spans="9:21" ht="15" x14ac:dyDescent="0.25">
      <c r="I69" s="44"/>
      <c r="K69" s="44"/>
      <c r="M69" s="33"/>
      <c r="N69" s="33"/>
      <c r="U69" s="5"/>
    </row>
    <row r="70" spans="9:21" ht="15" x14ac:dyDescent="0.25">
      <c r="I70" s="44"/>
      <c r="K70" s="44"/>
      <c r="M70" s="33"/>
      <c r="N70" s="33"/>
      <c r="U70" s="5"/>
    </row>
    <row r="71" spans="9:21" ht="15" x14ac:dyDescent="0.25">
      <c r="I71" s="44"/>
      <c r="K71" s="44"/>
      <c r="M71" s="33"/>
      <c r="N71" s="33"/>
      <c r="U71" s="5"/>
    </row>
    <row r="72" spans="9:21" ht="15" x14ac:dyDescent="0.25">
      <c r="I72" s="44"/>
      <c r="K72" s="44"/>
      <c r="M72" s="33"/>
      <c r="N72" s="33"/>
      <c r="U72" s="5"/>
    </row>
    <row r="73" spans="9:21" ht="15" x14ac:dyDescent="0.25">
      <c r="I73" s="44"/>
      <c r="K73" s="44"/>
      <c r="M73" s="33"/>
      <c r="N73" s="33"/>
      <c r="U73" s="5"/>
    </row>
    <row r="74" spans="9:21" ht="15" x14ac:dyDescent="0.25">
      <c r="I74" s="44"/>
      <c r="K74" s="44"/>
      <c r="M74" s="33"/>
      <c r="N74" s="33"/>
      <c r="U74" s="5"/>
    </row>
    <row r="75" spans="9:21" ht="15" x14ac:dyDescent="0.25">
      <c r="I75" s="44"/>
      <c r="K75" s="44"/>
      <c r="M75" s="33"/>
      <c r="N75" s="33"/>
      <c r="U75" s="5"/>
    </row>
    <row r="76" spans="9:21" ht="15" x14ac:dyDescent="0.25">
      <c r="I76" s="44"/>
      <c r="K76" s="44"/>
      <c r="M76" s="33"/>
      <c r="N76" s="33"/>
      <c r="U76" s="5"/>
    </row>
    <row r="77" spans="9:21" ht="15" x14ac:dyDescent="0.25">
      <c r="I77" s="44"/>
      <c r="K77" s="44"/>
      <c r="M77" s="33"/>
      <c r="N77" s="33"/>
      <c r="U77" s="5"/>
    </row>
    <row r="78" spans="9:21" ht="15" x14ac:dyDescent="0.25">
      <c r="I78" s="44"/>
      <c r="K78" s="44"/>
      <c r="M78" s="33"/>
      <c r="N78" s="33"/>
      <c r="U78" s="5"/>
    </row>
    <row r="79" spans="9:21" ht="15" x14ac:dyDescent="0.25">
      <c r="I79" s="44"/>
      <c r="K79" s="44"/>
      <c r="M79" s="33"/>
      <c r="N79" s="33"/>
      <c r="U79" s="5"/>
    </row>
    <row r="80" spans="9:21" ht="15" x14ac:dyDescent="0.25">
      <c r="I80" s="44"/>
      <c r="K80" s="44"/>
      <c r="M80" s="33"/>
      <c r="N80" s="33"/>
      <c r="U80" s="5"/>
    </row>
    <row r="81" spans="9:21" ht="15" x14ac:dyDescent="0.25">
      <c r="I81" s="44"/>
      <c r="K81" s="44"/>
      <c r="M81" s="33"/>
      <c r="N81" s="33"/>
      <c r="U81" s="5"/>
    </row>
    <row r="82" spans="9:21" ht="15" x14ac:dyDescent="0.25">
      <c r="I82" s="44"/>
      <c r="K82" s="44"/>
      <c r="M82" s="33"/>
      <c r="N82" s="33"/>
      <c r="U82" s="5"/>
    </row>
    <row r="83" spans="9:21" ht="15" x14ac:dyDescent="0.25">
      <c r="I83" s="44"/>
      <c r="K83" s="44"/>
      <c r="M83" s="33"/>
      <c r="N83" s="33"/>
      <c r="U83" s="5"/>
    </row>
    <row r="84" spans="9:21" ht="15" x14ac:dyDescent="0.25">
      <c r="I84" s="44"/>
      <c r="K84" s="44"/>
      <c r="M84" s="33"/>
      <c r="N84" s="33"/>
      <c r="U84" s="5"/>
    </row>
    <row r="85" spans="9:21" ht="15" x14ac:dyDescent="0.25">
      <c r="I85" s="44"/>
      <c r="K85" s="44"/>
      <c r="M85" s="33"/>
      <c r="N85" s="33"/>
      <c r="U85" s="5"/>
    </row>
    <row r="86" spans="9:21" ht="15" x14ac:dyDescent="0.25">
      <c r="I86" s="44"/>
      <c r="K86" s="44"/>
      <c r="M86" s="33"/>
      <c r="N86" s="33"/>
      <c r="U86" s="5"/>
    </row>
    <row r="87" spans="9:21" ht="15" x14ac:dyDescent="0.25">
      <c r="I87" s="44"/>
      <c r="K87" s="44"/>
      <c r="M87" s="33"/>
      <c r="N87" s="33"/>
      <c r="U87" s="5"/>
    </row>
    <row r="88" spans="9:21" ht="15" x14ac:dyDescent="0.25">
      <c r="I88" s="44"/>
      <c r="K88" s="44"/>
      <c r="M88" s="33"/>
      <c r="N88" s="33"/>
      <c r="U88" s="5"/>
    </row>
    <row r="89" spans="9:21" ht="15" x14ac:dyDescent="0.25">
      <c r="I89" s="44"/>
      <c r="K89" s="44"/>
      <c r="M89" s="33"/>
      <c r="N89" s="33"/>
      <c r="U89" s="5"/>
    </row>
    <row r="90" spans="9:21" ht="15" x14ac:dyDescent="0.25">
      <c r="I90" s="44"/>
      <c r="K90" s="44"/>
      <c r="M90" s="33"/>
      <c r="N90" s="33"/>
      <c r="U90" s="5"/>
    </row>
    <row r="91" spans="9:21" ht="15" x14ac:dyDescent="0.25">
      <c r="I91" s="44"/>
      <c r="K91" s="44"/>
      <c r="M91" s="33"/>
      <c r="N91" s="33"/>
      <c r="U91" s="5"/>
    </row>
    <row r="92" spans="9:21" ht="15" x14ac:dyDescent="0.25">
      <c r="I92" s="44"/>
      <c r="K92" s="44"/>
      <c r="M92" s="33"/>
      <c r="N92" s="33"/>
      <c r="U92" s="5"/>
    </row>
    <row r="93" spans="9:21" ht="15" x14ac:dyDescent="0.25">
      <c r="I93" s="44"/>
      <c r="K93" s="44"/>
      <c r="M93" s="33"/>
      <c r="N93" s="33"/>
      <c r="U93" s="5"/>
    </row>
    <row r="94" spans="9:21" ht="15" x14ac:dyDescent="0.25">
      <c r="I94" s="44"/>
      <c r="K94" s="44"/>
      <c r="M94" s="33"/>
      <c r="N94" s="33"/>
      <c r="U94" s="5"/>
    </row>
    <row r="95" spans="9:21" ht="15" x14ac:dyDescent="0.25">
      <c r="I95" s="44"/>
      <c r="K95" s="44"/>
      <c r="M95" s="33"/>
      <c r="N95" s="33"/>
      <c r="U95" s="5"/>
    </row>
    <row r="96" spans="9:21" ht="15" x14ac:dyDescent="0.25">
      <c r="I96" s="44"/>
      <c r="K96" s="44"/>
      <c r="M96" s="33"/>
      <c r="N96" s="33"/>
      <c r="U96" s="5"/>
    </row>
    <row r="97" spans="9:21" ht="15" x14ac:dyDescent="0.25">
      <c r="I97" s="44"/>
      <c r="K97" s="44"/>
      <c r="M97" s="33"/>
      <c r="N97" s="33"/>
      <c r="U97" s="5"/>
    </row>
    <row r="98" spans="9:21" ht="15" x14ac:dyDescent="0.25">
      <c r="I98" s="44"/>
      <c r="K98" s="44"/>
      <c r="M98" s="33"/>
      <c r="N98" s="33"/>
      <c r="U98" s="5"/>
    </row>
    <row r="99" spans="9:21" ht="15" x14ac:dyDescent="0.25">
      <c r="I99" s="44"/>
      <c r="K99" s="44"/>
      <c r="M99" s="33"/>
      <c r="N99" s="33"/>
      <c r="U99" s="5"/>
    </row>
    <row r="100" spans="9:21" ht="15" x14ac:dyDescent="0.25">
      <c r="I100" s="44"/>
      <c r="K100" s="44"/>
      <c r="M100" s="33"/>
      <c r="N100" s="33"/>
      <c r="U100" s="5"/>
    </row>
    <row r="101" spans="9:21" ht="15" x14ac:dyDescent="0.25">
      <c r="I101" s="44"/>
      <c r="K101" s="44"/>
      <c r="M101" s="33"/>
      <c r="N101" s="33"/>
      <c r="U101" s="5"/>
    </row>
    <row r="102" spans="9:21" ht="15" x14ac:dyDescent="0.25">
      <c r="I102" s="44"/>
      <c r="K102" s="44"/>
      <c r="M102" s="33"/>
      <c r="N102" s="33"/>
      <c r="U102" s="5"/>
    </row>
    <row r="103" spans="9:21" ht="15" x14ac:dyDescent="0.25">
      <c r="I103" s="44"/>
      <c r="K103" s="44"/>
      <c r="M103" s="33"/>
      <c r="N103" s="33"/>
      <c r="U103" s="5"/>
    </row>
    <row r="104" spans="9:21" ht="15" x14ac:dyDescent="0.25">
      <c r="I104" s="44"/>
      <c r="K104" s="44"/>
      <c r="M104" s="33"/>
      <c r="N104" s="33"/>
      <c r="U104" s="5"/>
    </row>
    <row r="105" spans="9:21" ht="15" x14ac:dyDescent="0.25">
      <c r="I105" s="44"/>
      <c r="K105" s="44"/>
      <c r="M105" s="33"/>
      <c r="N105" s="33"/>
      <c r="U105" s="5"/>
    </row>
    <row r="106" spans="9:21" ht="15" x14ac:dyDescent="0.25">
      <c r="I106" s="44"/>
      <c r="K106" s="44"/>
      <c r="M106" s="33"/>
      <c r="N106" s="33"/>
      <c r="U106" s="5"/>
    </row>
    <row r="107" spans="9:21" ht="15" x14ac:dyDescent="0.25">
      <c r="I107" s="44"/>
      <c r="K107" s="44"/>
      <c r="M107" s="33"/>
      <c r="N107" s="33"/>
      <c r="U107" s="5"/>
    </row>
    <row r="108" spans="9:21" ht="15" x14ac:dyDescent="0.25">
      <c r="I108" s="44"/>
      <c r="K108" s="44"/>
      <c r="M108" s="33"/>
      <c r="N108" s="33"/>
      <c r="U108" s="5"/>
    </row>
    <row r="109" spans="9:21" ht="15" x14ac:dyDescent="0.25">
      <c r="I109" s="44"/>
      <c r="K109" s="44"/>
      <c r="M109" s="33"/>
      <c r="N109" s="33"/>
      <c r="U109" s="5"/>
    </row>
    <row r="110" spans="9:21" ht="15" x14ac:dyDescent="0.25">
      <c r="I110" s="44"/>
      <c r="K110" s="44"/>
      <c r="M110" s="33"/>
      <c r="N110" s="33"/>
      <c r="U110" s="5"/>
    </row>
    <row r="111" spans="9:21" ht="15" x14ac:dyDescent="0.25">
      <c r="I111" s="44"/>
      <c r="K111" s="44"/>
      <c r="M111" s="33"/>
      <c r="N111" s="33"/>
      <c r="U111" s="5"/>
    </row>
    <row r="112" spans="9:21" ht="15" x14ac:dyDescent="0.25">
      <c r="I112" s="44"/>
      <c r="K112" s="44"/>
      <c r="M112" s="33"/>
      <c r="N112" s="33"/>
      <c r="U112" s="5"/>
    </row>
    <row r="113" spans="9:21" ht="15" x14ac:dyDescent="0.25">
      <c r="I113" s="44"/>
      <c r="K113" s="44"/>
      <c r="M113" s="33"/>
      <c r="N113" s="33"/>
      <c r="U113" s="5"/>
    </row>
    <row r="114" spans="9:21" ht="15" x14ac:dyDescent="0.25">
      <c r="I114" s="44"/>
      <c r="K114" s="44"/>
      <c r="M114" s="33"/>
      <c r="N114" s="33"/>
      <c r="U114" s="5"/>
    </row>
    <row r="115" spans="9:21" ht="15" x14ac:dyDescent="0.25">
      <c r="I115" s="44"/>
      <c r="K115" s="44"/>
      <c r="M115" s="33"/>
      <c r="N115" s="33"/>
      <c r="U115" s="5"/>
    </row>
    <row r="116" spans="9:21" ht="15" x14ac:dyDescent="0.25">
      <c r="I116" s="44"/>
      <c r="K116" s="44"/>
      <c r="M116" s="33"/>
      <c r="N116" s="33"/>
      <c r="U116" s="5"/>
    </row>
    <row r="117" spans="9:21" ht="15" x14ac:dyDescent="0.25">
      <c r="I117" s="44"/>
      <c r="K117" s="44"/>
      <c r="M117" s="33"/>
      <c r="N117" s="33"/>
      <c r="U117" s="5"/>
    </row>
    <row r="118" spans="9:21" ht="15" x14ac:dyDescent="0.25">
      <c r="I118" s="44"/>
      <c r="K118" s="44"/>
      <c r="M118" s="33"/>
      <c r="N118" s="33"/>
      <c r="U118" s="5"/>
    </row>
    <row r="119" spans="9:21" ht="15" x14ac:dyDescent="0.25">
      <c r="I119" s="44"/>
      <c r="K119" s="44"/>
      <c r="M119" s="33"/>
      <c r="N119" s="33"/>
      <c r="U119" s="5"/>
    </row>
    <row r="120" spans="9:21" ht="15" x14ac:dyDescent="0.25">
      <c r="I120" s="44"/>
      <c r="K120" s="44"/>
      <c r="M120" s="33"/>
      <c r="N120" s="33"/>
      <c r="U120" s="5"/>
    </row>
    <row r="121" spans="9:21" ht="15" x14ac:dyDescent="0.25">
      <c r="I121" s="44"/>
      <c r="K121" s="44"/>
      <c r="M121" s="33"/>
      <c r="N121" s="33"/>
      <c r="U121" s="5"/>
    </row>
    <row r="122" spans="9:21" ht="15" x14ac:dyDescent="0.25">
      <c r="I122" s="44"/>
      <c r="K122" s="44"/>
      <c r="M122" s="33"/>
      <c r="N122" s="33"/>
      <c r="U122" s="5"/>
    </row>
    <row r="123" spans="9:21" ht="15" x14ac:dyDescent="0.25">
      <c r="I123" s="44"/>
      <c r="K123" s="44"/>
      <c r="M123" s="33"/>
      <c r="N123" s="33"/>
      <c r="U123" s="5"/>
    </row>
    <row r="124" spans="9:21" ht="15" x14ac:dyDescent="0.25">
      <c r="I124" s="44"/>
      <c r="K124" s="44"/>
      <c r="M124" s="33"/>
      <c r="N124" s="33"/>
      <c r="U124" s="5"/>
    </row>
    <row r="125" spans="9:21" ht="15" x14ac:dyDescent="0.25">
      <c r="I125" s="44"/>
      <c r="K125" s="44"/>
      <c r="M125" s="33"/>
      <c r="N125" s="33"/>
      <c r="U125" s="5"/>
    </row>
    <row r="126" spans="9:21" ht="15" x14ac:dyDescent="0.25">
      <c r="I126" s="44"/>
      <c r="K126" s="44"/>
      <c r="M126" s="33"/>
      <c r="N126" s="33"/>
      <c r="U126" s="5"/>
    </row>
    <row r="127" spans="9:21" ht="15" x14ac:dyDescent="0.25">
      <c r="I127" s="44"/>
      <c r="K127" s="44"/>
      <c r="M127" s="33"/>
      <c r="N127" s="33"/>
      <c r="U127" s="5"/>
    </row>
    <row r="128" spans="9:21" ht="15" x14ac:dyDescent="0.25">
      <c r="I128" s="44"/>
      <c r="K128" s="44"/>
      <c r="M128" s="33"/>
      <c r="N128" s="33"/>
      <c r="U128" s="5"/>
    </row>
    <row r="129" spans="9:21" ht="15" x14ac:dyDescent="0.25">
      <c r="I129" s="44"/>
      <c r="K129" s="44"/>
      <c r="M129" s="33"/>
      <c r="N129" s="33"/>
      <c r="U129" s="5"/>
    </row>
    <row r="130" spans="9:21" ht="15" x14ac:dyDescent="0.25">
      <c r="I130" s="44"/>
      <c r="K130" s="44"/>
      <c r="M130" s="33"/>
      <c r="N130" s="33"/>
      <c r="U130" s="5"/>
    </row>
    <row r="131" spans="9:21" ht="15" x14ac:dyDescent="0.25">
      <c r="I131" s="44"/>
      <c r="K131" s="44"/>
      <c r="M131" s="33"/>
      <c r="N131" s="33"/>
      <c r="U131" s="5"/>
    </row>
    <row r="132" spans="9:21" ht="15" x14ac:dyDescent="0.25">
      <c r="I132" s="44"/>
      <c r="K132" s="44"/>
      <c r="M132" s="33"/>
      <c r="N132" s="33"/>
      <c r="U132" s="5"/>
    </row>
    <row r="133" spans="9:21" ht="15" x14ac:dyDescent="0.25">
      <c r="I133" s="44"/>
      <c r="K133" s="44"/>
      <c r="M133" s="33"/>
      <c r="N133" s="33"/>
      <c r="U133" s="5"/>
    </row>
    <row r="134" spans="9:21" ht="15" x14ac:dyDescent="0.25">
      <c r="I134" s="44"/>
      <c r="K134" s="44"/>
      <c r="M134" s="33"/>
      <c r="N134" s="33"/>
      <c r="U134" s="5"/>
    </row>
    <row r="135" spans="9:21" ht="15" x14ac:dyDescent="0.25">
      <c r="I135" s="44"/>
      <c r="K135" s="44"/>
      <c r="M135" s="33"/>
      <c r="N135" s="33"/>
      <c r="U135" s="5"/>
    </row>
    <row r="136" spans="9:21" ht="15" x14ac:dyDescent="0.25">
      <c r="I136" s="44"/>
      <c r="K136" s="44"/>
      <c r="M136" s="33"/>
      <c r="N136" s="33"/>
      <c r="U136" s="5"/>
    </row>
    <row r="137" spans="9:21" ht="15" x14ac:dyDescent="0.25">
      <c r="I137" s="44"/>
      <c r="K137" s="44"/>
      <c r="M137" s="33"/>
      <c r="N137" s="33"/>
      <c r="U137" s="5"/>
    </row>
    <row r="138" spans="9:21" ht="15" x14ac:dyDescent="0.25">
      <c r="I138" s="44"/>
      <c r="K138" s="44"/>
      <c r="M138" s="33"/>
      <c r="N138" s="33"/>
      <c r="U138" s="5"/>
    </row>
    <row r="139" spans="9:21" ht="15" x14ac:dyDescent="0.25">
      <c r="I139" s="44"/>
      <c r="K139" s="44"/>
      <c r="M139" s="33"/>
      <c r="N139" s="33"/>
      <c r="U139" s="5"/>
    </row>
    <row r="140" spans="9:21" ht="15" x14ac:dyDescent="0.25">
      <c r="I140" s="44"/>
      <c r="K140" s="44"/>
      <c r="M140" s="33"/>
      <c r="N140" s="33"/>
      <c r="U140" s="5"/>
    </row>
    <row r="141" spans="9:21" ht="15" x14ac:dyDescent="0.25">
      <c r="I141" s="44"/>
      <c r="K141" s="44"/>
      <c r="M141" s="33"/>
      <c r="N141" s="33"/>
      <c r="U141" s="5"/>
    </row>
    <row r="142" spans="9:21" ht="15" x14ac:dyDescent="0.25">
      <c r="I142" s="44"/>
      <c r="K142" s="44"/>
      <c r="M142" s="33"/>
      <c r="N142" s="33"/>
      <c r="U142" s="5"/>
    </row>
    <row r="143" spans="9:21" ht="15" x14ac:dyDescent="0.25">
      <c r="I143" s="44"/>
      <c r="K143" s="44"/>
      <c r="M143" s="33"/>
      <c r="N143" s="33"/>
      <c r="U143" s="5"/>
    </row>
    <row r="144" spans="9:21" ht="15" x14ac:dyDescent="0.25">
      <c r="I144" s="44"/>
      <c r="K144" s="44"/>
      <c r="M144" s="33"/>
      <c r="N144" s="33"/>
      <c r="U144" s="5"/>
    </row>
    <row r="145" spans="9:21" ht="15" x14ac:dyDescent="0.25">
      <c r="I145" s="44"/>
      <c r="K145" s="44"/>
      <c r="M145" s="33"/>
      <c r="N145" s="33"/>
      <c r="U145" s="5"/>
    </row>
    <row r="146" spans="9:21" ht="15" x14ac:dyDescent="0.25">
      <c r="I146" s="44"/>
      <c r="K146" s="44"/>
      <c r="M146" s="33"/>
      <c r="N146" s="33"/>
      <c r="U146" s="5"/>
    </row>
    <row r="147" spans="9:21" ht="15" x14ac:dyDescent="0.25">
      <c r="I147" s="44"/>
      <c r="K147" s="44"/>
      <c r="M147" s="33"/>
      <c r="N147" s="33"/>
      <c r="U147" s="5"/>
    </row>
    <row r="148" spans="9:21" ht="15" x14ac:dyDescent="0.25">
      <c r="I148" s="44"/>
      <c r="K148" s="44"/>
      <c r="M148" s="33"/>
      <c r="N148" s="33"/>
      <c r="U148" s="5"/>
    </row>
    <row r="149" spans="9:21" ht="15" x14ac:dyDescent="0.25">
      <c r="I149" s="44"/>
      <c r="K149" s="44"/>
      <c r="M149" s="33"/>
      <c r="N149" s="33"/>
      <c r="U149" s="5"/>
    </row>
    <row r="150" spans="9:21" ht="15" x14ac:dyDescent="0.25">
      <c r="I150" s="44"/>
      <c r="K150" s="44"/>
      <c r="M150" s="33"/>
      <c r="N150" s="33"/>
      <c r="U150" s="5"/>
    </row>
    <row r="151" spans="9:21" ht="15" x14ac:dyDescent="0.25">
      <c r="I151" s="44"/>
      <c r="K151" s="44"/>
      <c r="M151" s="33"/>
      <c r="N151" s="33"/>
      <c r="U151" s="5"/>
    </row>
    <row r="152" spans="9:21" ht="15" x14ac:dyDescent="0.25">
      <c r="I152" s="44"/>
      <c r="K152" s="44"/>
      <c r="M152" s="33"/>
      <c r="N152" s="33"/>
      <c r="U152" s="5"/>
    </row>
    <row r="153" spans="9:21" ht="15" x14ac:dyDescent="0.25">
      <c r="I153" s="44"/>
      <c r="K153" s="44"/>
      <c r="M153" s="33"/>
      <c r="N153" s="33"/>
      <c r="U153" s="5"/>
    </row>
    <row r="154" spans="9:21" ht="15" x14ac:dyDescent="0.25">
      <c r="I154" s="44"/>
      <c r="K154" s="44"/>
      <c r="M154" s="33"/>
      <c r="N154" s="33"/>
      <c r="U154" s="5"/>
    </row>
    <row r="155" spans="9:21" ht="15" x14ac:dyDescent="0.25">
      <c r="I155" s="44"/>
      <c r="K155" s="44"/>
      <c r="M155" s="33"/>
      <c r="N155" s="33"/>
      <c r="U155" s="5"/>
    </row>
    <row r="156" spans="9:21" ht="15" x14ac:dyDescent="0.25">
      <c r="I156" s="44"/>
      <c r="K156" s="44"/>
      <c r="M156" s="33"/>
      <c r="N156" s="33"/>
      <c r="U156" s="5"/>
    </row>
    <row r="157" spans="9:21" ht="15" x14ac:dyDescent="0.25">
      <c r="I157" s="44"/>
      <c r="K157" s="44"/>
      <c r="M157" s="33"/>
      <c r="N157" s="33"/>
      <c r="U157" s="5"/>
    </row>
    <row r="158" spans="9:21" ht="15" x14ac:dyDescent="0.25">
      <c r="I158" s="44"/>
      <c r="K158" s="44"/>
      <c r="M158" s="33"/>
      <c r="N158" s="33"/>
      <c r="U158" s="5"/>
    </row>
    <row r="159" spans="9:21" ht="15" x14ac:dyDescent="0.25">
      <c r="I159" s="44"/>
      <c r="K159" s="44"/>
      <c r="M159" s="33"/>
      <c r="N159" s="33"/>
      <c r="U159" s="5"/>
    </row>
    <row r="160" spans="9:21" ht="15" x14ac:dyDescent="0.25">
      <c r="I160" s="44"/>
      <c r="K160" s="44"/>
      <c r="M160" s="33"/>
      <c r="N160" s="33"/>
      <c r="U160" s="5"/>
    </row>
    <row r="161" spans="9:21" ht="15" x14ac:dyDescent="0.25">
      <c r="I161" s="44"/>
      <c r="K161" s="44"/>
      <c r="M161" s="33"/>
      <c r="N161" s="33"/>
      <c r="U161" s="5"/>
    </row>
    <row r="162" spans="9:21" ht="15" x14ac:dyDescent="0.25">
      <c r="I162" s="44"/>
      <c r="K162" s="44"/>
      <c r="M162" s="33"/>
      <c r="N162" s="33"/>
      <c r="U162" s="5"/>
    </row>
    <row r="163" spans="9:21" ht="15" x14ac:dyDescent="0.25">
      <c r="I163" s="44"/>
      <c r="K163" s="44"/>
      <c r="M163" s="33"/>
      <c r="N163" s="33"/>
      <c r="U163" s="5"/>
    </row>
    <row r="164" spans="9:21" ht="15" x14ac:dyDescent="0.25">
      <c r="I164" s="44"/>
      <c r="K164" s="44"/>
      <c r="M164" s="33"/>
      <c r="N164" s="33"/>
      <c r="U164" s="5"/>
    </row>
    <row r="165" spans="9:21" ht="15" x14ac:dyDescent="0.25">
      <c r="I165" s="44"/>
      <c r="K165" s="44"/>
      <c r="M165" s="33"/>
      <c r="N165" s="33"/>
      <c r="U165" s="5"/>
    </row>
    <row r="166" spans="9:21" ht="15" x14ac:dyDescent="0.25">
      <c r="I166" s="44"/>
      <c r="K166" s="44"/>
      <c r="M166" s="33"/>
      <c r="N166" s="33"/>
      <c r="U166" s="5"/>
    </row>
    <row r="167" spans="9:21" ht="15" x14ac:dyDescent="0.25">
      <c r="I167" s="44"/>
      <c r="K167" s="44"/>
      <c r="M167" s="33"/>
      <c r="N167" s="33"/>
      <c r="U167" s="5"/>
    </row>
    <row r="168" spans="9:21" ht="15" x14ac:dyDescent="0.25">
      <c r="I168" s="44"/>
      <c r="K168" s="44"/>
      <c r="M168" s="33"/>
      <c r="N168" s="33"/>
      <c r="U168" s="5"/>
    </row>
    <row r="169" spans="9:21" ht="15" x14ac:dyDescent="0.25">
      <c r="I169" s="44"/>
      <c r="K169" s="44"/>
      <c r="M169" s="33"/>
      <c r="N169" s="33"/>
      <c r="U169" s="5"/>
    </row>
    <row r="170" spans="9:21" ht="15" x14ac:dyDescent="0.25">
      <c r="I170" s="44"/>
      <c r="K170" s="44"/>
      <c r="M170" s="33"/>
      <c r="N170" s="33"/>
      <c r="U170" s="5"/>
    </row>
    <row r="171" spans="9:21" ht="15" x14ac:dyDescent="0.25">
      <c r="I171" s="44"/>
      <c r="K171" s="44"/>
      <c r="M171" s="33"/>
      <c r="N171" s="33"/>
      <c r="U171" s="5"/>
    </row>
    <row r="172" spans="9:21" ht="15" x14ac:dyDescent="0.25">
      <c r="I172" s="44"/>
      <c r="K172" s="44"/>
      <c r="M172" s="33"/>
      <c r="N172" s="33"/>
      <c r="U172" s="5"/>
    </row>
    <row r="173" spans="9:21" ht="15" x14ac:dyDescent="0.25">
      <c r="I173" s="44"/>
      <c r="K173" s="44"/>
      <c r="M173" s="33"/>
      <c r="N173" s="33"/>
      <c r="U173" s="5"/>
    </row>
    <row r="174" spans="9:21" ht="15" x14ac:dyDescent="0.25">
      <c r="I174" s="44"/>
      <c r="K174" s="44"/>
      <c r="M174" s="33"/>
      <c r="N174" s="33"/>
      <c r="U174" s="5"/>
    </row>
    <row r="175" spans="9:21" ht="15" x14ac:dyDescent="0.25">
      <c r="I175" s="44"/>
      <c r="K175" s="44"/>
      <c r="M175" s="33"/>
      <c r="N175" s="33"/>
      <c r="U175" s="5"/>
    </row>
    <row r="176" spans="9:21" ht="15" x14ac:dyDescent="0.25">
      <c r="I176" s="44"/>
      <c r="K176" s="44"/>
      <c r="M176" s="33"/>
      <c r="N176" s="33"/>
      <c r="U176" s="5"/>
    </row>
    <row r="177" spans="9:21" ht="15" x14ac:dyDescent="0.25">
      <c r="I177" s="44"/>
      <c r="K177" s="44"/>
      <c r="M177" s="33"/>
      <c r="N177" s="33"/>
      <c r="U177" s="5"/>
    </row>
    <row r="178" spans="9:21" ht="15" x14ac:dyDescent="0.25">
      <c r="I178" s="44"/>
      <c r="K178" s="44"/>
      <c r="M178" s="33"/>
      <c r="N178" s="33"/>
      <c r="U178" s="5"/>
    </row>
    <row r="179" spans="9:21" ht="15" x14ac:dyDescent="0.25">
      <c r="I179" s="44"/>
      <c r="K179" s="44"/>
      <c r="M179" s="33"/>
      <c r="N179" s="33"/>
      <c r="U179" s="5"/>
    </row>
    <row r="180" spans="9:21" ht="15" x14ac:dyDescent="0.25">
      <c r="I180" s="44"/>
      <c r="K180" s="44"/>
      <c r="M180" s="33"/>
      <c r="N180" s="33"/>
      <c r="U180" s="5"/>
    </row>
    <row r="181" spans="9:21" ht="15" x14ac:dyDescent="0.25">
      <c r="I181" s="44"/>
      <c r="K181" s="44"/>
      <c r="M181" s="33"/>
      <c r="N181" s="33"/>
      <c r="U181" s="5"/>
    </row>
    <row r="182" spans="9:21" ht="15" x14ac:dyDescent="0.25">
      <c r="I182" s="44"/>
      <c r="K182" s="44"/>
      <c r="M182" s="33"/>
      <c r="N182" s="33"/>
      <c r="U182" s="5"/>
    </row>
    <row r="183" spans="9:21" ht="15" x14ac:dyDescent="0.25">
      <c r="I183" s="44"/>
      <c r="K183" s="44"/>
      <c r="M183" s="33"/>
      <c r="N183" s="33"/>
      <c r="U183" s="5"/>
    </row>
    <row r="184" spans="9:21" ht="15" x14ac:dyDescent="0.25">
      <c r="I184" s="44"/>
      <c r="K184" s="44"/>
      <c r="M184" s="33"/>
      <c r="N184" s="33"/>
      <c r="U184" s="5"/>
    </row>
    <row r="185" spans="9:21" ht="15" x14ac:dyDescent="0.25">
      <c r="I185" s="44"/>
      <c r="K185" s="44"/>
      <c r="M185" s="33"/>
      <c r="N185" s="33"/>
      <c r="U185" s="5"/>
    </row>
    <row r="186" spans="9:21" ht="15" x14ac:dyDescent="0.25">
      <c r="I186" s="44"/>
      <c r="K186" s="44"/>
      <c r="M186" s="33"/>
      <c r="N186" s="33"/>
      <c r="U186" s="5"/>
    </row>
    <row r="187" spans="9:21" ht="15" x14ac:dyDescent="0.25">
      <c r="I187" s="44"/>
      <c r="K187" s="44"/>
      <c r="M187" s="33"/>
      <c r="N187" s="33"/>
      <c r="U187" s="5"/>
    </row>
    <row r="188" spans="9:21" ht="15" x14ac:dyDescent="0.25">
      <c r="I188" s="44"/>
      <c r="K188" s="44"/>
      <c r="M188" s="33"/>
      <c r="N188" s="33"/>
      <c r="U188" s="5"/>
    </row>
    <row r="189" spans="9:21" ht="15" x14ac:dyDescent="0.25">
      <c r="I189" s="44"/>
      <c r="K189" s="44"/>
      <c r="M189" s="33"/>
      <c r="N189" s="33"/>
      <c r="U189" s="5"/>
    </row>
    <row r="190" spans="9:21" ht="15" x14ac:dyDescent="0.25">
      <c r="I190" s="44"/>
      <c r="K190" s="44"/>
      <c r="M190" s="33"/>
      <c r="N190" s="33"/>
      <c r="U190" s="5"/>
    </row>
    <row r="191" spans="9:21" ht="15" x14ac:dyDescent="0.25">
      <c r="I191" s="44"/>
      <c r="K191" s="44"/>
      <c r="M191" s="33"/>
      <c r="N191" s="33"/>
      <c r="U191" s="5"/>
    </row>
    <row r="192" spans="9:21" ht="15" x14ac:dyDescent="0.25">
      <c r="I192" s="44"/>
      <c r="K192" s="44"/>
      <c r="M192" s="33"/>
      <c r="N192" s="33"/>
      <c r="U192" s="5"/>
    </row>
    <row r="193" spans="9:21" ht="15" x14ac:dyDescent="0.25">
      <c r="I193" s="44"/>
      <c r="K193" s="44"/>
      <c r="M193" s="33"/>
      <c r="N193" s="33"/>
      <c r="U193" s="5"/>
    </row>
    <row r="194" spans="9:21" ht="15" x14ac:dyDescent="0.25">
      <c r="I194" s="44"/>
      <c r="K194" s="44"/>
      <c r="M194" s="33"/>
      <c r="N194" s="33"/>
      <c r="U194" s="5"/>
    </row>
    <row r="195" spans="9:21" ht="15" x14ac:dyDescent="0.25">
      <c r="I195" s="44"/>
      <c r="K195" s="44"/>
      <c r="M195" s="33"/>
      <c r="N195" s="33"/>
      <c r="U195" s="5"/>
    </row>
    <row r="196" spans="9:21" ht="15" x14ac:dyDescent="0.25">
      <c r="I196" s="44"/>
      <c r="K196" s="44"/>
      <c r="M196" s="33"/>
      <c r="N196" s="33"/>
      <c r="U196" s="5"/>
    </row>
    <row r="197" spans="9:21" ht="15" x14ac:dyDescent="0.25">
      <c r="I197" s="44"/>
      <c r="K197" s="44"/>
      <c r="M197" s="33"/>
      <c r="N197" s="33"/>
      <c r="U197" s="5"/>
    </row>
    <row r="198" spans="9:21" ht="15" x14ac:dyDescent="0.25">
      <c r="I198" s="44"/>
      <c r="K198" s="44"/>
      <c r="M198" s="33"/>
      <c r="N198" s="33"/>
      <c r="U198" s="5"/>
    </row>
    <row r="199" spans="9:21" ht="15" x14ac:dyDescent="0.25">
      <c r="I199" s="44"/>
      <c r="K199" s="44"/>
      <c r="M199" s="33"/>
      <c r="N199" s="33"/>
      <c r="U199" s="5"/>
    </row>
    <row r="200" spans="9:21" ht="15" x14ac:dyDescent="0.25">
      <c r="I200" s="44"/>
      <c r="K200" s="44"/>
      <c r="M200" s="33"/>
      <c r="N200" s="33"/>
      <c r="U200" s="5"/>
    </row>
    <row r="201" spans="9:21" ht="15" x14ac:dyDescent="0.25">
      <c r="I201" s="44"/>
      <c r="K201" s="44"/>
      <c r="M201" s="33"/>
      <c r="N201" s="33"/>
      <c r="U201" s="5"/>
    </row>
    <row r="202" spans="9:21" ht="15" x14ac:dyDescent="0.25">
      <c r="I202" s="44"/>
      <c r="K202" s="44"/>
      <c r="M202" s="33"/>
      <c r="N202" s="33"/>
      <c r="U202" s="5"/>
    </row>
    <row r="203" spans="9:21" ht="15" x14ac:dyDescent="0.25">
      <c r="I203" s="44"/>
      <c r="K203" s="44"/>
      <c r="M203" s="33"/>
      <c r="N203" s="33"/>
      <c r="U203" s="5"/>
    </row>
    <row r="204" spans="9:21" ht="15" x14ac:dyDescent="0.25">
      <c r="I204" s="44"/>
      <c r="K204" s="44"/>
      <c r="M204" s="33"/>
      <c r="N204" s="33"/>
      <c r="U204" s="5"/>
    </row>
    <row r="205" spans="9:21" ht="15" x14ac:dyDescent="0.25">
      <c r="I205" s="44"/>
      <c r="K205" s="44"/>
      <c r="M205" s="33"/>
      <c r="N205" s="33"/>
      <c r="U205" s="5"/>
    </row>
    <row r="206" spans="9:21" ht="15" x14ac:dyDescent="0.25">
      <c r="I206" s="44"/>
      <c r="K206" s="44"/>
      <c r="M206" s="33"/>
      <c r="N206" s="33"/>
      <c r="U206" s="5"/>
    </row>
    <row r="207" spans="9:21" ht="15" x14ac:dyDescent="0.25">
      <c r="I207" s="44"/>
      <c r="K207" s="44"/>
      <c r="M207" s="33"/>
      <c r="N207" s="33"/>
      <c r="U207" s="5"/>
    </row>
    <row r="208" spans="9:21" ht="15" x14ac:dyDescent="0.25">
      <c r="I208" s="44"/>
      <c r="K208" s="44"/>
      <c r="M208" s="33"/>
      <c r="N208" s="33"/>
      <c r="U208" s="5"/>
    </row>
    <row r="209" spans="9:21" ht="15" x14ac:dyDescent="0.25">
      <c r="I209" s="44"/>
      <c r="K209" s="44"/>
      <c r="M209" s="33"/>
      <c r="N209" s="33"/>
      <c r="U209" s="5"/>
    </row>
    <row r="210" spans="9:21" ht="15" x14ac:dyDescent="0.25">
      <c r="I210" s="44"/>
      <c r="K210" s="44"/>
      <c r="M210" s="33"/>
      <c r="N210" s="33"/>
      <c r="U210" s="5"/>
    </row>
    <row r="211" spans="9:21" ht="15" x14ac:dyDescent="0.25">
      <c r="I211" s="44"/>
      <c r="K211" s="44"/>
      <c r="M211" s="33"/>
      <c r="N211" s="33"/>
      <c r="U211" s="5"/>
    </row>
    <row r="212" spans="9:21" ht="15" x14ac:dyDescent="0.25">
      <c r="I212" s="44"/>
      <c r="K212" s="44"/>
      <c r="M212" s="33"/>
      <c r="N212" s="33"/>
      <c r="U212" s="5"/>
    </row>
    <row r="213" spans="9:21" ht="15" x14ac:dyDescent="0.25">
      <c r="I213" s="44"/>
      <c r="K213" s="44"/>
      <c r="M213" s="33"/>
      <c r="N213" s="33"/>
      <c r="U213" s="5"/>
    </row>
    <row r="214" spans="9:21" ht="15" x14ac:dyDescent="0.25">
      <c r="I214" s="44"/>
      <c r="K214" s="44"/>
      <c r="M214" s="33"/>
      <c r="N214" s="33"/>
      <c r="U214" s="5"/>
    </row>
    <row r="215" spans="9:21" ht="15" x14ac:dyDescent="0.25">
      <c r="I215" s="44"/>
      <c r="K215" s="44"/>
      <c r="M215" s="33"/>
      <c r="N215" s="33"/>
      <c r="U215" s="5"/>
    </row>
    <row r="216" spans="9:21" ht="15" x14ac:dyDescent="0.25">
      <c r="I216" s="44"/>
      <c r="K216" s="44"/>
      <c r="M216" s="33"/>
      <c r="N216" s="33"/>
      <c r="U216" s="5"/>
    </row>
    <row r="217" spans="9:21" ht="15" x14ac:dyDescent="0.25">
      <c r="I217" s="44"/>
      <c r="K217" s="44"/>
      <c r="M217" s="33"/>
      <c r="N217" s="33"/>
      <c r="U217" s="5"/>
    </row>
    <row r="218" spans="9:21" ht="15" x14ac:dyDescent="0.25">
      <c r="I218" s="44"/>
      <c r="K218" s="44"/>
      <c r="M218" s="33"/>
      <c r="N218" s="33"/>
      <c r="U218" s="5"/>
    </row>
    <row r="219" spans="9:21" ht="15" x14ac:dyDescent="0.25">
      <c r="I219" s="44"/>
      <c r="K219" s="44"/>
      <c r="M219" s="33"/>
      <c r="N219" s="33"/>
      <c r="U219" s="5"/>
    </row>
    <row r="220" spans="9:21" ht="15" x14ac:dyDescent="0.25">
      <c r="I220" s="44"/>
      <c r="K220" s="44"/>
      <c r="M220" s="33"/>
      <c r="N220" s="33"/>
      <c r="U220" s="5"/>
    </row>
    <row r="221" spans="9:21" ht="15" x14ac:dyDescent="0.25">
      <c r="I221" s="44"/>
      <c r="K221" s="44"/>
      <c r="M221" s="33"/>
      <c r="N221" s="33"/>
      <c r="U221" s="5"/>
    </row>
    <row r="222" spans="9:21" ht="15" x14ac:dyDescent="0.25">
      <c r="I222" s="44"/>
      <c r="K222" s="44"/>
      <c r="M222" s="33"/>
      <c r="N222" s="33"/>
      <c r="U222" s="5"/>
    </row>
    <row r="223" spans="9:21" ht="15" x14ac:dyDescent="0.25">
      <c r="I223" s="44"/>
      <c r="K223" s="44"/>
      <c r="M223" s="33"/>
      <c r="N223" s="33"/>
      <c r="U223" s="5"/>
    </row>
    <row r="224" spans="9:21" ht="15" x14ac:dyDescent="0.25">
      <c r="I224" s="44"/>
      <c r="K224" s="44"/>
      <c r="M224" s="33"/>
      <c r="N224" s="33"/>
      <c r="U224" s="5"/>
    </row>
    <row r="225" spans="9:21" ht="15" x14ac:dyDescent="0.25">
      <c r="I225" s="44"/>
      <c r="K225" s="44"/>
      <c r="M225" s="33"/>
      <c r="N225" s="33"/>
      <c r="U225" s="5"/>
    </row>
    <row r="226" spans="9:21" ht="15" x14ac:dyDescent="0.25">
      <c r="I226" s="44"/>
      <c r="K226" s="44"/>
      <c r="M226" s="33"/>
      <c r="N226" s="33"/>
      <c r="U226" s="5"/>
    </row>
    <row r="227" spans="9:21" ht="15" x14ac:dyDescent="0.25">
      <c r="I227" s="44"/>
      <c r="K227" s="44"/>
      <c r="M227" s="33"/>
      <c r="N227" s="33"/>
      <c r="U227" s="5"/>
    </row>
    <row r="228" spans="9:21" ht="15" x14ac:dyDescent="0.25">
      <c r="I228" s="44"/>
      <c r="K228" s="44"/>
      <c r="M228" s="33"/>
      <c r="N228" s="33"/>
      <c r="U228" s="5"/>
    </row>
    <row r="229" spans="9:21" ht="15" x14ac:dyDescent="0.25">
      <c r="I229" s="44"/>
      <c r="K229" s="44"/>
      <c r="M229" s="33"/>
      <c r="N229" s="33"/>
      <c r="U229" s="5"/>
    </row>
    <row r="230" spans="9:21" ht="15" x14ac:dyDescent="0.25">
      <c r="I230" s="44"/>
      <c r="K230" s="44"/>
      <c r="M230" s="33"/>
      <c r="N230" s="33"/>
      <c r="U230" s="5"/>
    </row>
    <row r="231" spans="9:21" ht="15" x14ac:dyDescent="0.25">
      <c r="I231" s="44"/>
      <c r="K231" s="44"/>
      <c r="M231" s="33"/>
      <c r="N231" s="33"/>
      <c r="U231" s="5"/>
    </row>
    <row r="232" spans="9:21" ht="15" x14ac:dyDescent="0.25">
      <c r="I232" s="44"/>
      <c r="K232" s="44"/>
      <c r="M232" s="33"/>
      <c r="N232" s="33"/>
      <c r="U232" s="5"/>
    </row>
    <row r="233" spans="9:21" ht="15" x14ac:dyDescent="0.25">
      <c r="I233" s="44"/>
      <c r="K233" s="44"/>
      <c r="M233" s="33"/>
      <c r="N233" s="33"/>
      <c r="U233" s="5"/>
    </row>
    <row r="234" spans="9:21" ht="15" x14ac:dyDescent="0.25">
      <c r="I234" s="44"/>
      <c r="K234" s="44"/>
      <c r="M234" s="33"/>
      <c r="N234" s="33"/>
      <c r="U234" s="5"/>
    </row>
    <row r="235" spans="9:21" ht="15" x14ac:dyDescent="0.25">
      <c r="I235" s="44"/>
      <c r="K235" s="44"/>
      <c r="M235" s="33"/>
      <c r="N235" s="33"/>
      <c r="U235" s="5"/>
    </row>
    <row r="236" spans="9:21" ht="15" x14ac:dyDescent="0.25">
      <c r="I236" s="44"/>
      <c r="K236" s="44"/>
      <c r="M236" s="33"/>
      <c r="N236" s="33"/>
      <c r="U236" s="5"/>
    </row>
    <row r="237" spans="9:21" ht="15" x14ac:dyDescent="0.25">
      <c r="I237" s="44"/>
      <c r="K237" s="44"/>
      <c r="M237" s="33"/>
      <c r="N237" s="33"/>
      <c r="U237" s="5"/>
    </row>
    <row r="238" spans="9:21" ht="15" x14ac:dyDescent="0.25">
      <c r="I238" s="44"/>
      <c r="K238" s="44"/>
      <c r="M238" s="33"/>
      <c r="N238" s="33"/>
      <c r="U238" s="5"/>
    </row>
    <row r="239" spans="9:21" ht="15" x14ac:dyDescent="0.25">
      <c r="I239" s="44"/>
      <c r="K239" s="44"/>
      <c r="M239" s="33"/>
      <c r="N239" s="33"/>
      <c r="U239" s="5"/>
    </row>
    <row r="240" spans="9:21" ht="15" x14ac:dyDescent="0.25">
      <c r="I240" s="44"/>
      <c r="K240" s="44"/>
      <c r="M240" s="33"/>
      <c r="N240" s="33"/>
      <c r="U240" s="5"/>
    </row>
    <row r="241" spans="9:21" ht="15" x14ac:dyDescent="0.25">
      <c r="I241" s="44"/>
      <c r="K241" s="44"/>
      <c r="M241" s="33"/>
      <c r="N241" s="33"/>
      <c r="U241" s="5"/>
    </row>
    <row r="242" spans="9:21" ht="15" x14ac:dyDescent="0.25">
      <c r="I242" s="44"/>
      <c r="K242" s="44"/>
      <c r="M242" s="33"/>
      <c r="N242" s="33"/>
      <c r="U242" s="5"/>
    </row>
    <row r="243" spans="9:21" ht="15" x14ac:dyDescent="0.25">
      <c r="I243" s="44"/>
      <c r="K243" s="44"/>
      <c r="M243" s="33"/>
      <c r="N243" s="33"/>
      <c r="U243" s="5"/>
    </row>
    <row r="244" spans="9:21" ht="15" x14ac:dyDescent="0.25">
      <c r="I244" s="44"/>
      <c r="K244" s="44"/>
      <c r="M244" s="33"/>
      <c r="N244" s="33"/>
      <c r="U244" s="5"/>
    </row>
    <row r="245" spans="9:21" ht="15" x14ac:dyDescent="0.25">
      <c r="I245" s="44"/>
      <c r="K245" s="44"/>
      <c r="M245" s="33"/>
      <c r="N245" s="33"/>
      <c r="U245" s="5"/>
    </row>
    <row r="246" spans="9:21" ht="15" x14ac:dyDescent="0.25">
      <c r="I246" s="44"/>
      <c r="K246" s="44"/>
      <c r="M246" s="33"/>
      <c r="N246" s="33"/>
      <c r="U246" s="5"/>
    </row>
    <row r="247" spans="9:21" ht="15" x14ac:dyDescent="0.25">
      <c r="I247" s="44"/>
      <c r="K247" s="44"/>
      <c r="M247" s="33"/>
      <c r="N247" s="33"/>
      <c r="U247" s="5"/>
    </row>
    <row r="248" spans="9:21" ht="15" x14ac:dyDescent="0.25">
      <c r="I248" s="44"/>
      <c r="K248" s="44"/>
      <c r="M248" s="33"/>
      <c r="N248" s="33"/>
      <c r="U248" s="5"/>
    </row>
    <row r="249" spans="9:21" ht="15" x14ac:dyDescent="0.25">
      <c r="I249" s="44"/>
      <c r="K249" s="44"/>
      <c r="M249" s="33"/>
      <c r="N249" s="33"/>
      <c r="U249" s="5"/>
    </row>
    <row r="250" spans="9:21" ht="15" x14ac:dyDescent="0.25">
      <c r="I250" s="44"/>
      <c r="K250" s="44"/>
      <c r="M250" s="33"/>
      <c r="N250" s="33"/>
      <c r="U250" s="5"/>
    </row>
    <row r="251" spans="9:21" ht="15" x14ac:dyDescent="0.25">
      <c r="I251" s="44"/>
      <c r="K251" s="44"/>
      <c r="M251" s="33"/>
      <c r="N251" s="33"/>
      <c r="U251" s="5"/>
    </row>
    <row r="252" spans="9:21" ht="15" x14ac:dyDescent="0.25">
      <c r="I252" s="44"/>
      <c r="K252" s="44"/>
      <c r="M252" s="33"/>
      <c r="N252" s="33"/>
      <c r="U252" s="5"/>
    </row>
    <row r="253" spans="9:21" ht="15" x14ac:dyDescent="0.25">
      <c r="I253" s="44"/>
      <c r="K253" s="44"/>
      <c r="M253" s="33"/>
      <c r="N253" s="33"/>
      <c r="U253" s="5"/>
    </row>
    <row r="254" spans="9:21" ht="15" x14ac:dyDescent="0.25">
      <c r="I254" s="44"/>
      <c r="K254" s="44"/>
      <c r="M254" s="33"/>
      <c r="N254" s="33"/>
      <c r="U254" s="5"/>
    </row>
    <row r="255" spans="9:21" ht="15" x14ac:dyDescent="0.25">
      <c r="I255" s="44"/>
      <c r="K255" s="44"/>
      <c r="M255" s="33"/>
      <c r="N255" s="33"/>
      <c r="U255" s="5"/>
    </row>
    <row r="256" spans="9:21" ht="15" x14ac:dyDescent="0.25">
      <c r="I256" s="44"/>
      <c r="K256" s="44"/>
      <c r="M256" s="33"/>
      <c r="N256" s="33"/>
      <c r="U256" s="5"/>
    </row>
    <row r="257" spans="9:21" ht="15" x14ac:dyDescent="0.25">
      <c r="I257" s="44"/>
      <c r="K257" s="44"/>
      <c r="M257" s="33"/>
      <c r="N257" s="33"/>
      <c r="U257" s="5"/>
    </row>
    <row r="258" spans="9:21" ht="15" x14ac:dyDescent="0.25">
      <c r="I258" s="44"/>
      <c r="K258" s="44"/>
      <c r="M258" s="33"/>
      <c r="N258" s="33"/>
      <c r="U258" s="5"/>
    </row>
    <row r="259" spans="9:21" ht="15" x14ac:dyDescent="0.25">
      <c r="I259" s="44"/>
      <c r="K259" s="44"/>
      <c r="M259" s="33"/>
      <c r="N259" s="33"/>
      <c r="U259" s="5"/>
    </row>
    <row r="260" spans="9:21" ht="15" x14ac:dyDescent="0.25">
      <c r="I260" s="44"/>
      <c r="K260" s="44"/>
      <c r="M260" s="33"/>
      <c r="N260" s="33"/>
      <c r="U260" s="5"/>
    </row>
    <row r="261" spans="9:21" ht="15" x14ac:dyDescent="0.25">
      <c r="I261" s="44"/>
      <c r="K261" s="44"/>
      <c r="M261" s="33"/>
      <c r="N261" s="33"/>
      <c r="U261" s="5"/>
    </row>
    <row r="262" spans="9:21" ht="15" x14ac:dyDescent="0.25">
      <c r="I262" s="44"/>
      <c r="K262" s="44"/>
      <c r="M262" s="33"/>
      <c r="N262" s="33"/>
      <c r="U262" s="5"/>
    </row>
    <row r="263" spans="9:21" ht="15" x14ac:dyDescent="0.25">
      <c r="I263" s="44"/>
      <c r="K263" s="44"/>
      <c r="M263" s="33"/>
      <c r="N263" s="33"/>
      <c r="U263" s="5"/>
    </row>
    <row r="264" spans="9:21" ht="15" x14ac:dyDescent="0.25">
      <c r="I264" s="44"/>
      <c r="K264" s="44"/>
      <c r="M264" s="33"/>
      <c r="N264" s="33"/>
      <c r="U264" s="5"/>
    </row>
    <row r="265" spans="9:21" ht="15" x14ac:dyDescent="0.25">
      <c r="I265" s="44"/>
      <c r="K265" s="44"/>
      <c r="M265" s="33"/>
      <c r="N265" s="33"/>
      <c r="U265" s="5"/>
    </row>
    <row r="266" spans="9:21" ht="15" x14ac:dyDescent="0.25">
      <c r="I266" s="44"/>
      <c r="K266" s="44"/>
      <c r="M266" s="33"/>
      <c r="N266" s="33"/>
      <c r="U266" s="5"/>
    </row>
    <row r="267" spans="9:21" ht="15" x14ac:dyDescent="0.25">
      <c r="I267" s="44"/>
      <c r="K267" s="44"/>
      <c r="M267" s="33"/>
      <c r="N267" s="33"/>
      <c r="U267" s="5"/>
    </row>
    <row r="268" spans="9:21" ht="15" x14ac:dyDescent="0.25">
      <c r="I268" s="44"/>
      <c r="K268" s="44"/>
      <c r="M268" s="33"/>
      <c r="N268" s="33"/>
      <c r="U268" s="5"/>
    </row>
    <row r="269" spans="9:21" ht="15" x14ac:dyDescent="0.25">
      <c r="I269" s="44"/>
      <c r="K269" s="44"/>
      <c r="M269" s="33"/>
      <c r="N269" s="33"/>
      <c r="U269" s="5"/>
    </row>
    <row r="270" spans="9:21" ht="15" x14ac:dyDescent="0.25">
      <c r="I270" s="44"/>
      <c r="K270" s="44"/>
      <c r="M270" s="33"/>
      <c r="N270" s="33"/>
      <c r="U270" s="5"/>
    </row>
    <row r="271" spans="9:21" ht="15" x14ac:dyDescent="0.25">
      <c r="I271" s="44"/>
      <c r="K271" s="44"/>
      <c r="M271" s="33"/>
      <c r="N271" s="33"/>
      <c r="U271" s="5"/>
    </row>
    <row r="272" spans="9:21" ht="15" x14ac:dyDescent="0.25">
      <c r="I272" s="44"/>
      <c r="K272" s="44"/>
      <c r="M272" s="33"/>
      <c r="N272" s="33"/>
      <c r="U272" s="5"/>
    </row>
    <row r="273" spans="9:21" ht="15" x14ac:dyDescent="0.25">
      <c r="I273" s="44"/>
      <c r="K273" s="44"/>
      <c r="M273" s="33"/>
      <c r="N273" s="33"/>
      <c r="U273" s="5"/>
    </row>
    <row r="274" spans="9:21" ht="15" x14ac:dyDescent="0.25">
      <c r="I274" s="44"/>
      <c r="K274" s="44"/>
      <c r="M274" s="33"/>
      <c r="N274" s="33"/>
      <c r="U274" s="5"/>
    </row>
    <row r="275" spans="9:21" ht="15" x14ac:dyDescent="0.25">
      <c r="I275" s="44"/>
      <c r="K275" s="44"/>
      <c r="M275" s="33"/>
      <c r="N275" s="33"/>
      <c r="U275" s="5"/>
    </row>
    <row r="276" spans="9:21" ht="15" x14ac:dyDescent="0.25">
      <c r="I276" s="44"/>
      <c r="K276" s="44"/>
      <c r="M276" s="33"/>
      <c r="N276" s="33"/>
      <c r="U276" s="5"/>
    </row>
    <row r="277" spans="9:21" ht="15" x14ac:dyDescent="0.25">
      <c r="I277" s="44"/>
      <c r="K277" s="44"/>
      <c r="M277" s="33"/>
      <c r="N277" s="33"/>
      <c r="U277" s="5"/>
    </row>
    <row r="278" spans="9:21" ht="15" x14ac:dyDescent="0.25">
      <c r="I278" s="44"/>
      <c r="K278" s="44"/>
      <c r="M278" s="33"/>
      <c r="N278" s="33"/>
      <c r="U278" s="5"/>
    </row>
    <row r="279" spans="9:21" ht="15" x14ac:dyDescent="0.25">
      <c r="I279" s="44"/>
      <c r="K279" s="44"/>
      <c r="M279" s="33"/>
      <c r="N279" s="33"/>
      <c r="U279" s="5"/>
    </row>
    <row r="280" spans="9:21" ht="15" x14ac:dyDescent="0.25">
      <c r="I280" s="44"/>
      <c r="K280" s="44"/>
      <c r="M280" s="33"/>
      <c r="N280" s="33"/>
      <c r="U280" s="5"/>
    </row>
    <row r="281" spans="9:21" ht="15" x14ac:dyDescent="0.25">
      <c r="I281" s="44"/>
      <c r="K281" s="44"/>
      <c r="M281" s="33"/>
      <c r="N281" s="33"/>
      <c r="U281" s="5"/>
    </row>
    <row r="282" spans="9:21" ht="15" x14ac:dyDescent="0.25">
      <c r="I282" s="44"/>
      <c r="K282" s="44"/>
      <c r="M282" s="33"/>
      <c r="N282" s="33"/>
      <c r="U282" s="5"/>
    </row>
    <row r="283" spans="9:21" ht="15" x14ac:dyDescent="0.25">
      <c r="I283" s="44"/>
      <c r="K283" s="44"/>
      <c r="M283" s="33"/>
      <c r="N283" s="33"/>
      <c r="U283" s="5"/>
    </row>
    <row r="284" spans="9:21" ht="15" x14ac:dyDescent="0.25">
      <c r="I284" s="44"/>
      <c r="K284" s="44"/>
      <c r="M284" s="33"/>
      <c r="N284" s="33"/>
      <c r="U284" s="5"/>
    </row>
    <row r="285" spans="9:21" ht="15" x14ac:dyDescent="0.25">
      <c r="I285" s="44"/>
      <c r="K285" s="44"/>
      <c r="M285" s="33"/>
      <c r="N285" s="33"/>
      <c r="U285" s="5"/>
    </row>
    <row r="286" spans="9:21" ht="15" x14ac:dyDescent="0.25">
      <c r="I286" s="44"/>
      <c r="K286" s="44"/>
      <c r="M286" s="33"/>
      <c r="N286" s="33"/>
      <c r="U286" s="5"/>
    </row>
    <row r="287" spans="9:21" ht="15" x14ac:dyDescent="0.25">
      <c r="I287" s="44"/>
      <c r="K287" s="44"/>
      <c r="M287" s="33"/>
      <c r="N287" s="33"/>
      <c r="U287" s="5"/>
    </row>
    <row r="288" spans="9:21" ht="15" x14ac:dyDescent="0.25">
      <c r="I288" s="44"/>
      <c r="K288" s="44"/>
      <c r="M288" s="33"/>
      <c r="N288" s="33"/>
      <c r="U288" s="5"/>
    </row>
    <row r="289" spans="9:21" ht="15" x14ac:dyDescent="0.25">
      <c r="I289" s="44"/>
      <c r="K289" s="44"/>
      <c r="M289" s="33"/>
      <c r="N289" s="33"/>
      <c r="U289" s="5"/>
    </row>
    <row r="290" spans="9:21" ht="15" x14ac:dyDescent="0.25">
      <c r="I290" s="44"/>
      <c r="K290" s="44"/>
      <c r="M290" s="33"/>
      <c r="N290" s="33"/>
      <c r="U290" s="5"/>
    </row>
    <row r="291" spans="9:21" ht="15" x14ac:dyDescent="0.25">
      <c r="I291" s="44"/>
      <c r="K291" s="44"/>
      <c r="M291" s="33"/>
      <c r="N291" s="33"/>
      <c r="U291" s="5"/>
    </row>
    <row r="292" spans="9:21" ht="15" x14ac:dyDescent="0.25">
      <c r="I292" s="44"/>
      <c r="K292" s="44"/>
      <c r="M292" s="33"/>
      <c r="N292" s="33"/>
      <c r="U292" s="5"/>
    </row>
    <row r="293" spans="9:21" ht="15" x14ac:dyDescent="0.25">
      <c r="I293" s="44"/>
      <c r="K293" s="44"/>
      <c r="M293" s="33"/>
      <c r="N293" s="33"/>
      <c r="U293" s="5"/>
    </row>
    <row r="294" spans="9:21" ht="15" x14ac:dyDescent="0.25">
      <c r="I294" s="44"/>
      <c r="K294" s="44"/>
      <c r="M294" s="33"/>
      <c r="N294" s="33"/>
      <c r="U294" s="5"/>
    </row>
    <row r="295" spans="9:21" ht="15" x14ac:dyDescent="0.25">
      <c r="I295" s="44"/>
      <c r="K295" s="44"/>
      <c r="M295" s="33"/>
      <c r="N295" s="33"/>
      <c r="U295" s="5"/>
    </row>
    <row r="296" spans="9:21" ht="15" x14ac:dyDescent="0.25">
      <c r="I296" s="44"/>
      <c r="K296" s="44"/>
      <c r="M296" s="33"/>
      <c r="N296" s="33"/>
      <c r="U296" s="5"/>
    </row>
    <row r="297" spans="9:21" ht="15" x14ac:dyDescent="0.25">
      <c r="I297" s="44"/>
      <c r="K297" s="44"/>
      <c r="M297" s="33"/>
      <c r="N297" s="33"/>
      <c r="U297" s="5"/>
    </row>
    <row r="298" spans="9:21" ht="15" x14ac:dyDescent="0.25">
      <c r="I298" s="44"/>
      <c r="K298" s="44"/>
      <c r="M298" s="33"/>
      <c r="N298" s="33"/>
      <c r="U298" s="5"/>
    </row>
    <row r="299" spans="9:21" ht="15" x14ac:dyDescent="0.25">
      <c r="I299" s="44"/>
      <c r="K299" s="44"/>
      <c r="M299" s="33"/>
      <c r="N299" s="33"/>
      <c r="U299" s="5"/>
    </row>
    <row r="300" spans="9:21" ht="15" x14ac:dyDescent="0.25">
      <c r="I300" s="44"/>
      <c r="K300" s="44"/>
      <c r="M300" s="33"/>
      <c r="N300" s="33"/>
      <c r="U300" s="5"/>
    </row>
    <row r="301" spans="9:21" ht="15" x14ac:dyDescent="0.25">
      <c r="I301" s="44"/>
      <c r="K301" s="44"/>
      <c r="M301" s="33"/>
      <c r="N301" s="33"/>
      <c r="U301" s="5"/>
    </row>
    <row r="302" spans="9:21" ht="15" x14ac:dyDescent="0.25">
      <c r="I302" s="44"/>
      <c r="K302" s="44"/>
      <c r="M302" s="33"/>
      <c r="N302" s="33"/>
      <c r="U302" s="5"/>
    </row>
    <row r="303" spans="9:21" ht="15" x14ac:dyDescent="0.25">
      <c r="I303" s="44"/>
      <c r="K303" s="44"/>
      <c r="M303" s="33"/>
      <c r="N303" s="33"/>
      <c r="U303" s="5"/>
    </row>
    <row r="304" spans="9:21" ht="15" x14ac:dyDescent="0.25">
      <c r="I304" s="44"/>
      <c r="K304" s="44"/>
      <c r="M304" s="33"/>
      <c r="N304" s="33"/>
      <c r="U304" s="5"/>
    </row>
    <row r="305" spans="9:21" ht="15" x14ac:dyDescent="0.25">
      <c r="I305" s="44"/>
      <c r="K305" s="44"/>
      <c r="M305" s="33"/>
      <c r="N305" s="33"/>
      <c r="U305" s="5"/>
    </row>
    <row r="306" spans="9:21" ht="15" x14ac:dyDescent="0.25">
      <c r="I306" s="44"/>
      <c r="K306" s="44"/>
      <c r="M306" s="33"/>
      <c r="N306" s="33"/>
      <c r="U306" s="5"/>
    </row>
    <row r="307" spans="9:21" ht="15" x14ac:dyDescent="0.25">
      <c r="I307" s="44"/>
      <c r="K307" s="44"/>
      <c r="M307" s="33"/>
      <c r="N307" s="33"/>
      <c r="U307" s="5"/>
    </row>
    <row r="308" spans="9:21" ht="15" x14ac:dyDescent="0.25">
      <c r="I308" s="44"/>
      <c r="K308" s="44"/>
      <c r="M308" s="33"/>
      <c r="N308" s="33"/>
      <c r="U308" s="5"/>
    </row>
    <row r="309" spans="9:21" ht="15" x14ac:dyDescent="0.25">
      <c r="I309" s="44"/>
      <c r="K309" s="44"/>
      <c r="M309" s="33"/>
      <c r="N309" s="33"/>
      <c r="U309" s="5"/>
    </row>
    <row r="310" spans="9:21" ht="15" x14ac:dyDescent="0.25">
      <c r="I310" s="44"/>
      <c r="K310" s="44"/>
      <c r="M310" s="33"/>
      <c r="N310" s="33"/>
      <c r="U310" s="5"/>
    </row>
    <row r="311" spans="9:21" ht="15" x14ac:dyDescent="0.25">
      <c r="I311" s="44"/>
      <c r="K311" s="44"/>
      <c r="M311" s="33"/>
      <c r="N311" s="33"/>
      <c r="U311" s="5"/>
    </row>
    <row r="312" spans="9:21" ht="15" x14ac:dyDescent="0.25">
      <c r="I312" s="44"/>
      <c r="K312" s="44"/>
      <c r="M312" s="33"/>
      <c r="N312" s="33"/>
      <c r="U312" s="5"/>
    </row>
    <row r="313" spans="9:21" ht="15" x14ac:dyDescent="0.25">
      <c r="I313" s="44"/>
      <c r="K313" s="44"/>
      <c r="M313" s="33"/>
      <c r="N313" s="33"/>
      <c r="U313" s="5"/>
    </row>
    <row r="314" spans="9:21" ht="15" x14ac:dyDescent="0.25">
      <c r="I314" s="44"/>
      <c r="K314" s="44"/>
      <c r="M314" s="33"/>
      <c r="N314" s="33"/>
      <c r="U314" s="5"/>
    </row>
    <row r="315" spans="9:21" ht="15" x14ac:dyDescent="0.25">
      <c r="I315" s="44"/>
      <c r="K315" s="44"/>
      <c r="M315" s="33"/>
      <c r="N315" s="33"/>
      <c r="U315" s="5"/>
    </row>
    <row r="316" spans="9:21" ht="15" x14ac:dyDescent="0.25">
      <c r="I316" s="44"/>
      <c r="K316" s="44"/>
      <c r="M316" s="33"/>
      <c r="N316" s="33"/>
      <c r="U316" s="5"/>
    </row>
    <row r="317" spans="9:21" ht="15" x14ac:dyDescent="0.25">
      <c r="I317" s="44"/>
      <c r="K317" s="44"/>
      <c r="M317" s="33"/>
      <c r="N317" s="33"/>
      <c r="U317" s="5"/>
    </row>
    <row r="318" spans="9:21" ht="15" x14ac:dyDescent="0.25">
      <c r="I318" s="44"/>
      <c r="K318" s="44"/>
      <c r="M318" s="33"/>
      <c r="N318" s="33"/>
      <c r="U318" s="5"/>
    </row>
    <row r="319" spans="9:21" ht="15" x14ac:dyDescent="0.25">
      <c r="I319" s="44"/>
      <c r="K319" s="44"/>
      <c r="M319" s="33"/>
      <c r="N319" s="33"/>
      <c r="U319" s="5"/>
    </row>
    <row r="320" spans="9:21" ht="15" x14ac:dyDescent="0.25">
      <c r="I320" s="44"/>
      <c r="K320" s="44"/>
      <c r="M320" s="33"/>
      <c r="N320" s="33"/>
      <c r="U320" s="5"/>
    </row>
    <row r="321" spans="9:21" ht="15" x14ac:dyDescent="0.25">
      <c r="I321" s="44"/>
      <c r="K321" s="44"/>
      <c r="M321" s="33"/>
      <c r="N321" s="33"/>
      <c r="U321" s="5"/>
    </row>
    <row r="322" spans="9:21" ht="15" x14ac:dyDescent="0.25">
      <c r="I322" s="44"/>
      <c r="K322" s="44"/>
      <c r="M322" s="33"/>
      <c r="N322" s="33"/>
      <c r="U322" s="5"/>
    </row>
    <row r="323" spans="9:21" ht="15" x14ac:dyDescent="0.25">
      <c r="I323" s="44"/>
      <c r="K323" s="44"/>
      <c r="M323" s="33"/>
      <c r="N323" s="33"/>
      <c r="U323" s="5"/>
    </row>
    <row r="324" spans="9:21" ht="15" x14ac:dyDescent="0.25">
      <c r="I324" s="44"/>
      <c r="K324" s="44"/>
      <c r="M324" s="33"/>
      <c r="N324" s="33"/>
      <c r="U324" s="5"/>
    </row>
    <row r="325" spans="9:21" ht="15" x14ac:dyDescent="0.25">
      <c r="I325" s="44"/>
      <c r="K325" s="44"/>
      <c r="M325" s="33"/>
      <c r="N325" s="33"/>
      <c r="U325" s="5"/>
    </row>
    <row r="326" spans="9:21" ht="15" x14ac:dyDescent="0.25">
      <c r="I326" s="44"/>
      <c r="K326" s="44"/>
      <c r="M326" s="33"/>
      <c r="N326" s="33"/>
      <c r="U326" s="5"/>
    </row>
    <row r="327" spans="9:21" ht="15" x14ac:dyDescent="0.25">
      <c r="I327" s="44"/>
      <c r="K327" s="44"/>
      <c r="M327" s="33"/>
      <c r="N327" s="33"/>
      <c r="U327" s="5"/>
    </row>
    <row r="328" spans="9:21" ht="15" x14ac:dyDescent="0.25">
      <c r="I328" s="44"/>
      <c r="K328" s="44"/>
      <c r="M328" s="33"/>
      <c r="N328" s="33"/>
      <c r="U328" s="5"/>
    </row>
    <row r="329" spans="9:21" ht="15" x14ac:dyDescent="0.25">
      <c r="I329" s="44"/>
      <c r="K329" s="44"/>
      <c r="M329" s="33"/>
      <c r="N329" s="33"/>
      <c r="U329" s="5"/>
    </row>
    <row r="330" spans="9:21" ht="15" x14ac:dyDescent="0.25">
      <c r="I330" s="44"/>
      <c r="K330" s="44"/>
      <c r="M330" s="33"/>
      <c r="N330" s="33"/>
      <c r="U330" s="5"/>
    </row>
    <row r="331" spans="9:21" ht="15" x14ac:dyDescent="0.25">
      <c r="I331" s="44"/>
      <c r="K331" s="44"/>
      <c r="M331" s="33"/>
      <c r="N331" s="33"/>
      <c r="U331" s="5"/>
    </row>
    <row r="332" spans="9:21" ht="15" x14ac:dyDescent="0.25">
      <c r="I332" s="44"/>
      <c r="K332" s="44"/>
      <c r="M332" s="33"/>
      <c r="N332" s="33"/>
      <c r="U332" s="5"/>
    </row>
    <row r="333" spans="9:21" ht="15" x14ac:dyDescent="0.25">
      <c r="I333" s="44"/>
      <c r="K333" s="44"/>
      <c r="M333" s="33"/>
      <c r="N333" s="33"/>
      <c r="U333" s="5"/>
    </row>
    <row r="334" spans="9:21" ht="15" x14ac:dyDescent="0.25">
      <c r="I334" s="44"/>
      <c r="K334" s="44"/>
      <c r="M334" s="33"/>
      <c r="N334" s="33"/>
      <c r="U334" s="5"/>
    </row>
    <row r="335" spans="9:21" ht="15" x14ac:dyDescent="0.25">
      <c r="I335" s="44"/>
      <c r="K335" s="44"/>
      <c r="M335" s="33"/>
      <c r="N335" s="33"/>
      <c r="U335" s="5"/>
    </row>
    <row r="336" spans="9:21" ht="15" x14ac:dyDescent="0.25">
      <c r="I336" s="44"/>
      <c r="K336" s="44"/>
      <c r="M336" s="33"/>
      <c r="N336" s="33"/>
      <c r="U336" s="5"/>
    </row>
    <row r="337" spans="9:21" ht="15" x14ac:dyDescent="0.25">
      <c r="I337" s="44"/>
      <c r="K337" s="44"/>
      <c r="M337" s="33"/>
      <c r="N337" s="33"/>
      <c r="U337" s="5"/>
    </row>
    <row r="338" spans="9:21" ht="15" x14ac:dyDescent="0.25">
      <c r="I338" s="44"/>
      <c r="K338" s="44"/>
      <c r="M338" s="33"/>
      <c r="N338" s="33"/>
      <c r="U338" s="5"/>
    </row>
    <row r="339" spans="9:21" ht="15" x14ac:dyDescent="0.25">
      <c r="I339" s="44"/>
      <c r="K339" s="44"/>
      <c r="M339" s="33"/>
      <c r="N339" s="33"/>
      <c r="U339" s="5"/>
    </row>
    <row r="340" spans="9:21" ht="15" x14ac:dyDescent="0.25">
      <c r="I340" s="44"/>
      <c r="K340" s="44"/>
      <c r="M340" s="33"/>
      <c r="N340" s="33"/>
      <c r="U340" s="5"/>
    </row>
    <row r="341" spans="9:21" ht="15" x14ac:dyDescent="0.25">
      <c r="I341" s="44"/>
      <c r="K341" s="44"/>
      <c r="M341" s="33"/>
      <c r="N341" s="33"/>
      <c r="U341" s="5"/>
    </row>
    <row r="342" spans="9:21" ht="15" x14ac:dyDescent="0.25">
      <c r="I342" s="44"/>
      <c r="K342" s="44"/>
      <c r="M342" s="33"/>
      <c r="N342" s="33"/>
      <c r="U342" s="5"/>
    </row>
    <row r="343" spans="9:21" ht="15" x14ac:dyDescent="0.25">
      <c r="I343" s="44"/>
      <c r="K343" s="44"/>
      <c r="M343" s="33"/>
      <c r="N343" s="33"/>
      <c r="U343" s="5"/>
    </row>
    <row r="344" spans="9:21" ht="15" x14ac:dyDescent="0.25">
      <c r="I344" s="44"/>
      <c r="K344" s="44"/>
      <c r="M344" s="33"/>
      <c r="N344" s="33"/>
      <c r="U344" s="5"/>
    </row>
    <row r="345" spans="9:21" ht="15" x14ac:dyDescent="0.25">
      <c r="I345" s="44"/>
      <c r="K345" s="44"/>
      <c r="M345" s="33"/>
      <c r="N345" s="33"/>
      <c r="U345" s="5"/>
    </row>
    <row r="346" spans="9:21" ht="15" x14ac:dyDescent="0.25">
      <c r="I346" s="44"/>
      <c r="K346" s="44"/>
      <c r="M346" s="33"/>
      <c r="N346" s="33"/>
      <c r="U346" s="5"/>
    </row>
    <row r="347" spans="9:21" ht="15" x14ac:dyDescent="0.25">
      <c r="I347" s="44"/>
      <c r="K347" s="44"/>
      <c r="M347" s="33"/>
      <c r="N347" s="33"/>
      <c r="U347" s="5"/>
    </row>
    <row r="348" spans="9:21" ht="15" x14ac:dyDescent="0.25">
      <c r="I348" s="44"/>
      <c r="K348" s="44"/>
      <c r="M348" s="33"/>
      <c r="N348" s="33"/>
      <c r="U348" s="5"/>
    </row>
    <row r="349" spans="9:21" ht="15" x14ac:dyDescent="0.25">
      <c r="I349" s="44"/>
      <c r="K349" s="44"/>
      <c r="M349" s="33"/>
      <c r="N349" s="33"/>
      <c r="U349" s="5"/>
    </row>
    <row r="350" spans="9:21" ht="15" x14ac:dyDescent="0.25">
      <c r="I350" s="44"/>
      <c r="K350" s="44"/>
      <c r="M350" s="33"/>
      <c r="N350" s="33"/>
      <c r="U350" s="5"/>
    </row>
    <row r="351" spans="9:21" ht="15" x14ac:dyDescent="0.25">
      <c r="I351" s="44"/>
      <c r="K351" s="44"/>
      <c r="M351" s="33"/>
      <c r="N351" s="33"/>
      <c r="U351" s="5"/>
    </row>
    <row r="352" spans="9:21" ht="15" x14ac:dyDescent="0.25">
      <c r="I352" s="44"/>
      <c r="K352" s="44"/>
      <c r="M352" s="33"/>
      <c r="N352" s="33"/>
      <c r="U352" s="5"/>
    </row>
    <row r="353" spans="9:21" ht="15" x14ac:dyDescent="0.25">
      <c r="I353" s="44"/>
      <c r="K353" s="44"/>
      <c r="M353" s="33"/>
      <c r="N353" s="33"/>
      <c r="U353" s="5"/>
    </row>
    <row r="354" spans="9:21" ht="15" x14ac:dyDescent="0.25">
      <c r="I354" s="44"/>
      <c r="K354" s="44"/>
      <c r="M354" s="33"/>
      <c r="N354" s="33"/>
      <c r="U354" s="5"/>
    </row>
    <row r="355" spans="9:21" ht="15" x14ac:dyDescent="0.25">
      <c r="I355" s="44"/>
      <c r="K355" s="44"/>
      <c r="M355" s="33"/>
      <c r="N355" s="33"/>
      <c r="U355" s="5"/>
    </row>
    <row r="356" spans="9:21" ht="15" x14ac:dyDescent="0.25">
      <c r="I356" s="44"/>
      <c r="K356" s="44"/>
      <c r="M356" s="33"/>
      <c r="N356" s="33"/>
      <c r="U356" s="5"/>
    </row>
    <row r="357" spans="9:21" ht="15" x14ac:dyDescent="0.25">
      <c r="I357" s="44"/>
      <c r="K357" s="44"/>
      <c r="M357" s="33"/>
      <c r="N357" s="33"/>
      <c r="U357" s="5"/>
    </row>
    <row r="358" spans="9:21" ht="15" x14ac:dyDescent="0.25">
      <c r="I358" s="44"/>
      <c r="K358" s="44"/>
      <c r="M358" s="33"/>
      <c r="N358" s="33"/>
      <c r="U358" s="5"/>
    </row>
    <row r="359" spans="9:21" ht="15" x14ac:dyDescent="0.25">
      <c r="I359" s="44"/>
      <c r="K359" s="44"/>
      <c r="M359" s="33"/>
      <c r="N359" s="33"/>
      <c r="U359" s="5"/>
    </row>
    <row r="360" spans="9:21" ht="15" x14ac:dyDescent="0.25">
      <c r="I360" s="44"/>
      <c r="K360" s="44"/>
      <c r="M360" s="33"/>
      <c r="N360" s="33"/>
      <c r="U360" s="5"/>
    </row>
    <row r="361" spans="9:21" ht="15" x14ac:dyDescent="0.25">
      <c r="I361" s="44"/>
      <c r="K361" s="44"/>
      <c r="M361" s="33"/>
      <c r="N361" s="33"/>
      <c r="U361" s="5"/>
    </row>
    <row r="362" spans="9:21" ht="15" x14ac:dyDescent="0.25">
      <c r="I362" s="44"/>
      <c r="K362" s="44"/>
      <c r="M362" s="33"/>
      <c r="N362" s="33"/>
      <c r="U362" s="5"/>
    </row>
    <row r="363" spans="9:21" ht="15" x14ac:dyDescent="0.25">
      <c r="I363" s="44"/>
      <c r="K363" s="44"/>
      <c r="M363" s="33"/>
      <c r="N363" s="33"/>
      <c r="U363" s="5"/>
    </row>
    <row r="364" spans="9:21" ht="15" x14ac:dyDescent="0.25">
      <c r="I364" s="44"/>
      <c r="K364" s="44"/>
      <c r="M364" s="33"/>
      <c r="N364" s="33"/>
      <c r="U364" s="5"/>
    </row>
    <row r="365" spans="9:21" ht="15" x14ac:dyDescent="0.25">
      <c r="I365" s="44"/>
      <c r="K365" s="44"/>
      <c r="M365" s="33"/>
      <c r="N365" s="33"/>
      <c r="U365" s="5"/>
    </row>
    <row r="366" spans="9:21" ht="15" x14ac:dyDescent="0.25">
      <c r="I366" s="44"/>
      <c r="K366" s="44"/>
      <c r="M366" s="33"/>
      <c r="N366" s="33"/>
      <c r="U366" s="5"/>
    </row>
    <row r="367" spans="9:21" ht="15" x14ac:dyDescent="0.25">
      <c r="I367" s="44"/>
      <c r="K367" s="44"/>
      <c r="M367" s="33"/>
      <c r="N367" s="33"/>
      <c r="U367" s="5"/>
    </row>
    <row r="368" spans="9:21" ht="15" x14ac:dyDescent="0.25">
      <c r="I368" s="44"/>
      <c r="K368" s="44"/>
      <c r="M368" s="33"/>
      <c r="N368" s="33"/>
      <c r="U368" s="5"/>
    </row>
    <row r="369" spans="9:21" ht="15" x14ac:dyDescent="0.25">
      <c r="I369" s="44"/>
      <c r="K369" s="44"/>
      <c r="M369" s="33"/>
      <c r="N369" s="33"/>
      <c r="U369" s="5"/>
    </row>
    <row r="370" spans="9:21" ht="15" x14ac:dyDescent="0.25">
      <c r="I370" s="44"/>
      <c r="K370" s="44"/>
      <c r="M370" s="33"/>
      <c r="N370" s="33"/>
      <c r="U370" s="5"/>
    </row>
    <row r="371" spans="9:21" ht="15" x14ac:dyDescent="0.25">
      <c r="I371" s="44"/>
      <c r="K371" s="44"/>
      <c r="M371" s="33"/>
      <c r="N371" s="33"/>
      <c r="U371" s="5"/>
    </row>
    <row r="372" spans="9:21" ht="15" x14ac:dyDescent="0.25">
      <c r="I372" s="44"/>
      <c r="K372" s="44"/>
      <c r="M372" s="33"/>
      <c r="N372" s="33"/>
      <c r="U372" s="5"/>
    </row>
    <row r="373" spans="9:21" ht="15" x14ac:dyDescent="0.25">
      <c r="I373" s="44"/>
      <c r="K373" s="44"/>
      <c r="M373" s="33"/>
      <c r="N373" s="33"/>
      <c r="U373" s="5"/>
    </row>
    <row r="374" spans="9:21" ht="15" x14ac:dyDescent="0.25">
      <c r="I374" s="44"/>
      <c r="K374" s="44"/>
      <c r="M374" s="33"/>
      <c r="N374" s="33"/>
      <c r="U374" s="5"/>
    </row>
    <row r="375" spans="9:21" ht="15" x14ac:dyDescent="0.25">
      <c r="I375" s="44"/>
      <c r="K375" s="44"/>
      <c r="M375" s="33"/>
      <c r="N375" s="33"/>
      <c r="U375" s="5"/>
    </row>
    <row r="376" spans="9:21" ht="15" x14ac:dyDescent="0.25">
      <c r="I376" s="44"/>
      <c r="K376" s="44"/>
      <c r="M376" s="33"/>
      <c r="N376" s="33"/>
      <c r="U376" s="5"/>
    </row>
    <row r="377" spans="9:21" ht="15" x14ac:dyDescent="0.25">
      <c r="I377" s="44"/>
      <c r="K377" s="44"/>
      <c r="M377" s="33"/>
      <c r="N377" s="33"/>
      <c r="U377" s="5"/>
    </row>
    <row r="378" spans="9:21" ht="15" x14ac:dyDescent="0.25">
      <c r="I378" s="44"/>
      <c r="K378" s="44"/>
      <c r="M378" s="33"/>
      <c r="N378" s="33"/>
      <c r="U378" s="5"/>
    </row>
    <row r="379" spans="9:21" ht="15" x14ac:dyDescent="0.25">
      <c r="I379" s="44"/>
      <c r="K379" s="44"/>
      <c r="M379" s="33"/>
      <c r="N379" s="33"/>
      <c r="U379" s="5"/>
    </row>
    <row r="380" spans="9:21" ht="15" x14ac:dyDescent="0.25">
      <c r="I380" s="44"/>
      <c r="K380" s="44"/>
      <c r="M380" s="33"/>
      <c r="N380" s="33"/>
      <c r="U380" s="5"/>
    </row>
    <row r="381" spans="9:21" ht="15" x14ac:dyDescent="0.25">
      <c r="I381" s="44"/>
      <c r="K381" s="44"/>
      <c r="M381" s="33"/>
      <c r="N381" s="33"/>
      <c r="U381" s="5"/>
    </row>
    <row r="382" spans="9:21" ht="15" x14ac:dyDescent="0.25">
      <c r="I382" s="44"/>
      <c r="K382" s="44"/>
      <c r="M382" s="33"/>
      <c r="N382" s="33"/>
      <c r="U382" s="5"/>
    </row>
    <row r="383" spans="9:21" ht="15" x14ac:dyDescent="0.25">
      <c r="I383" s="44"/>
      <c r="K383" s="44"/>
      <c r="M383" s="33"/>
      <c r="N383" s="33"/>
      <c r="U383" s="5"/>
    </row>
    <row r="384" spans="9:21" ht="15" x14ac:dyDescent="0.25">
      <c r="I384" s="44"/>
      <c r="K384" s="44"/>
      <c r="M384" s="33"/>
      <c r="N384" s="33"/>
      <c r="U384" s="5"/>
    </row>
    <row r="385" spans="9:21" ht="15" x14ac:dyDescent="0.25">
      <c r="I385" s="44"/>
      <c r="K385" s="44"/>
      <c r="M385" s="33"/>
      <c r="N385" s="33"/>
      <c r="U385" s="5"/>
    </row>
    <row r="386" spans="9:21" ht="15" x14ac:dyDescent="0.25">
      <c r="I386" s="44"/>
      <c r="K386" s="44"/>
      <c r="M386" s="33"/>
      <c r="N386" s="33"/>
      <c r="U386" s="5"/>
    </row>
    <row r="387" spans="9:21" ht="15" x14ac:dyDescent="0.25">
      <c r="I387" s="44"/>
      <c r="K387" s="44"/>
      <c r="M387" s="33"/>
      <c r="N387" s="33"/>
      <c r="U387" s="5"/>
    </row>
    <row r="388" spans="9:21" ht="15" x14ac:dyDescent="0.25">
      <c r="I388" s="44"/>
      <c r="K388" s="44"/>
      <c r="M388" s="33"/>
      <c r="N388" s="33"/>
      <c r="U388" s="5"/>
    </row>
    <row r="389" spans="9:21" ht="15" x14ac:dyDescent="0.25">
      <c r="I389" s="44"/>
      <c r="K389" s="44"/>
      <c r="M389" s="33"/>
      <c r="N389" s="33"/>
      <c r="U389" s="5"/>
    </row>
    <row r="390" spans="9:21" ht="15" x14ac:dyDescent="0.25">
      <c r="I390" s="44"/>
      <c r="K390" s="44"/>
      <c r="M390" s="33"/>
      <c r="N390" s="33"/>
      <c r="U390" s="5"/>
    </row>
    <row r="391" spans="9:21" ht="15" x14ac:dyDescent="0.25">
      <c r="I391" s="44"/>
      <c r="K391" s="44"/>
      <c r="M391" s="33"/>
      <c r="N391" s="33"/>
      <c r="U391" s="5"/>
    </row>
    <row r="392" spans="9:21" ht="15" x14ac:dyDescent="0.25">
      <c r="I392" s="44"/>
      <c r="K392" s="44"/>
      <c r="M392" s="33"/>
      <c r="N392" s="33"/>
      <c r="U392" s="5"/>
    </row>
    <row r="393" spans="9:21" ht="15" x14ac:dyDescent="0.25">
      <c r="I393" s="44"/>
      <c r="K393" s="44"/>
      <c r="M393" s="33"/>
      <c r="N393" s="33"/>
      <c r="U393" s="5"/>
    </row>
    <row r="394" spans="9:21" ht="15" x14ac:dyDescent="0.25">
      <c r="I394" s="44"/>
      <c r="K394" s="44"/>
      <c r="M394" s="33"/>
      <c r="N394" s="33"/>
      <c r="U394" s="5"/>
    </row>
    <row r="395" spans="9:21" ht="15" x14ac:dyDescent="0.25">
      <c r="I395" s="44"/>
      <c r="K395" s="44"/>
      <c r="M395" s="33"/>
      <c r="N395" s="33"/>
      <c r="U395" s="5"/>
    </row>
    <row r="396" spans="9:21" ht="15" x14ac:dyDescent="0.25">
      <c r="I396" s="44"/>
      <c r="K396" s="44"/>
      <c r="M396" s="33"/>
      <c r="N396" s="33"/>
      <c r="U396" s="5"/>
    </row>
    <row r="397" spans="9:21" ht="15" x14ac:dyDescent="0.25">
      <c r="I397" s="44"/>
      <c r="K397" s="44"/>
      <c r="M397" s="33"/>
      <c r="N397" s="33"/>
      <c r="U397" s="5"/>
    </row>
    <row r="398" spans="9:21" ht="15" x14ac:dyDescent="0.25">
      <c r="I398" s="44"/>
      <c r="K398" s="44"/>
      <c r="M398" s="33"/>
      <c r="N398" s="33"/>
      <c r="U398" s="5"/>
    </row>
    <row r="399" spans="9:21" ht="15" x14ac:dyDescent="0.25">
      <c r="I399" s="44"/>
      <c r="K399" s="44"/>
      <c r="M399" s="33"/>
      <c r="N399" s="33"/>
      <c r="U399" s="5"/>
    </row>
    <row r="400" spans="9:21" ht="15" x14ac:dyDescent="0.25">
      <c r="I400" s="44"/>
      <c r="K400" s="44"/>
      <c r="M400" s="33"/>
      <c r="N400" s="33"/>
      <c r="U400" s="5"/>
    </row>
    <row r="401" spans="9:21" ht="15" x14ac:dyDescent="0.25">
      <c r="I401" s="44"/>
      <c r="K401" s="44"/>
      <c r="M401" s="33"/>
      <c r="N401" s="33"/>
      <c r="U401" s="5"/>
    </row>
    <row r="402" spans="9:21" ht="15" x14ac:dyDescent="0.25">
      <c r="I402" s="44"/>
      <c r="K402" s="44"/>
      <c r="M402" s="33"/>
      <c r="N402" s="33"/>
      <c r="U402" s="5"/>
    </row>
    <row r="403" spans="9:21" ht="15" x14ac:dyDescent="0.25">
      <c r="I403" s="44"/>
      <c r="K403" s="44"/>
      <c r="M403" s="33"/>
      <c r="N403" s="33"/>
      <c r="U403" s="5"/>
    </row>
    <row r="404" spans="9:21" ht="15" x14ac:dyDescent="0.25">
      <c r="I404" s="44"/>
      <c r="K404" s="44"/>
      <c r="M404" s="33"/>
      <c r="N404" s="33"/>
      <c r="U404" s="5"/>
    </row>
    <row r="405" spans="9:21" ht="15" x14ac:dyDescent="0.25">
      <c r="I405" s="44"/>
      <c r="K405" s="44"/>
      <c r="M405" s="33"/>
      <c r="N405" s="33"/>
      <c r="U405" s="5"/>
    </row>
    <row r="406" spans="9:21" ht="15" x14ac:dyDescent="0.25">
      <c r="I406" s="44"/>
      <c r="K406" s="44"/>
      <c r="M406" s="33"/>
      <c r="N406" s="33"/>
      <c r="U406" s="5"/>
    </row>
    <row r="407" spans="9:21" ht="15" x14ac:dyDescent="0.25">
      <c r="I407" s="44"/>
      <c r="K407" s="44"/>
      <c r="M407" s="33"/>
      <c r="N407" s="33"/>
      <c r="U407" s="5"/>
    </row>
    <row r="408" spans="9:21" ht="15" x14ac:dyDescent="0.25">
      <c r="I408" s="44"/>
      <c r="K408" s="44"/>
      <c r="M408" s="33"/>
      <c r="N408" s="33"/>
      <c r="U408" s="5"/>
    </row>
    <row r="409" spans="9:21" ht="15" x14ac:dyDescent="0.25">
      <c r="I409" s="44"/>
      <c r="K409" s="44"/>
      <c r="M409" s="33"/>
      <c r="N409" s="33"/>
      <c r="U409" s="5"/>
    </row>
    <row r="410" spans="9:21" ht="15" x14ac:dyDescent="0.25">
      <c r="I410" s="44"/>
      <c r="K410" s="44"/>
      <c r="M410" s="33"/>
      <c r="N410" s="33"/>
      <c r="U410" s="5"/>
    </row>
    <row r="411" spans="9:21" ht="15" x14ac:dyDescent="0.25">
      <c r="I411" s="44"/>
      <c r="K411" s="44"/>
      <c r="M411" s="33"/>
      <c r="N411" s="33"/>
      <c r="U411" s="5"/>
    </row>
    <row r="412" spans="9:21" ht="15" x14ac:dyDescent="0.25">
      <c r="I412" s="44"/>
      <c r="K412" s="44"/>
      <c r="M412" s="33"/>
      <c r="N412" s="33"/>
      <c r="U412" s="5"/>
    </row>
    <row r="413" spans="9:21" ht="15" x14ac:dyDescent="0.25">
      <c r="I413" s="44"/>
      <c r="K413" s="44"/>
      <c r="M413" s="33"/>
      <c r="N413" s="33"/>
      <c r="U413" s="5"/>
    </row>
    <row r="414" spans="9:21" ht="15" x14ac:dyDescent="0.25">
      <c r="I414" s="44"/>
      <c r="K414" s="44"/>
      <c r="M414" s="33"/>
      <c r="N414" s="33"/>
      <c r="U414" s="5"/>
    </row>
    <row r="415" spans="9:21" ht="15" x14ac:dyDescent="0.25">
      <c r="I415" s="44"/>
      <c r="K415" s="44"/>
      <c r="M415" s="33"/>
      <c r="N415" s="33"/>
      <c r="U415" s="5"/>
    </row>
    <row r="416" spans="9:21" ht="15" x14ac:dyDescent="0.25">
      <c r="I416" s="44"/>
      <c r="K416" s="44"/>
      <c r="M416" s="33"/>
      <c r="N416" s="33"/>
      <c r="U416" s="5"/>
    </row>
    <row r="417" spans="9:21" ht="15" x14ac:dyDescent="0.25">
      <c r="I417" s="44"/>
      <c r="K417" s="44"/>
      <c r="M417" s="33"/>
      <c r="N417" s="33"/>
      <c r="U417" s="5"/>
    </row>
    <row r="418" spans="9:21" ht="15" x14ac:dyDescent="0.25">
      <c r="I418" s="44"/>
      <c r="K418" s="44"/>
      <c r="M418" s="33"/>
      <c r="N418" s="33"/>
      <c r="U418" s="5"/>
    </row>
    <row r="419" spans="9:21" ht="15" x14ac:dyDescent="0.25">
      <c r="I419" s="44"/>
      <c r="K419" s="44"/>
      <c r="M419" s="33"/>
      <c r="N419" s="33"/>
      <c r="U419" s="5"/>
    </row>
    <row r="420" spans="9:21" ht="15" x14ac:dyDescent="0.25">
      <c r="I420" s="44"/>
      <c r="K420" s="44"/>
      <c r="M420" s="33"/>
      <c r="N420" s="33"/>
      <c r="U420" s="5"/>
    </row>
    <row r="421" spans="9:21" ht="15" x14ac:dyDescent="0.25">
      <c r="I421" s="44"/>
      <c r="K421" s="44"/>
      <c r="M421" s="33"/>
      <c r="N421" s="33"/>
      <c r="U421" s="5"/>
    </row>
    <row r="422" spans="9:21" ht="15" x14ac:dyDescent="0.25">
      <c r="I422" s="44"/>
      <c r="K422" s="44"/>
      <c r="M422" s="33"/>
      <c r="N422" s="33"/>
      <c r="U422" s="5"/>
    </row>
    <row r="423" spans="9:21" ht="15" x14ac:dyDescent="0.25">
      <c r="I423" s="44"/>
      <c r="K423" s="44"/>
      <c r="M423" s="33"/>
      <c r="N423" s="33"/>
      <c r="U423" s="5"/>
    </row>
    <row r="424" spans="9:21" ht="15" x14ac:dyDescent="0.25">
      <c r="I424" s="44"/>
      <c r="K424" s="44"/>
      <c r="M424" s="33"/>
      <c r="N424" s="33"/>
      <c r="U424" s="5"/>
    </row>
    <row r="425" spans="9:21" ht="15" x14ac:dyDescent="0.25">
      <c r="I425" s="44"/>
      <c r="K425" s="44"/>
      <c r="M425" s="33"/>
      <c r="N425" s="33"/>
      <c r="U425" s="5"/>
    </row>
    <row r="426" spans="9:21" ht="15" x14ac:dyDescent="0.25">
      <c r="I426" s="44"/>
      <c r="K426" s="44"/>
      <c r="M426" s="33"/>
      <c r="N426" s="33"/>
      <c r="U426" s="5"/>
    </row>
    <row r="427" spans="9:21" ht="15" x14ac:dyDescent="0.25">
      <c r="I427" s="44"/>
      <c r="K427" s="44"/>
      <c r="M427" s="33"/>
      <c r="N427" s="33"/>
      <c r="U427" s="5"/>
    </row>
    <row r="428" spans="9:21" ht="15" x14ac:dyDescent="0.25">
      <c r="I428" s="44"/>
      <c r="K428" s="44"/>
      <c r="M428" s="33"/>
      <c r="N428" s="33"/>
      <c r="U428" s="5"/>
    </row>
    <row r="429" spans="9:21" ht="15" x14ac:dyDescent="0.25">
      <c r="I429" s="44"/>
      <c r="K429" s="44"/>
      <c r="M429" s="33"/>
      <c r="N429" s="33"/>
      <c r="U429" s="5"/>
    </row>
    <row r="430" spans="9:21" ht="15" x14ac:dyDescent="0.25">
      <c r="I430" s="44"/>
      <c r="K430" s="44"/>
      <c r="M430" s="33"/>
      <c r="N430" s="33"/>
      <c r="U430" s="5"/>
    </row>
    <row r="431" spans="9:21" ht="15" x14ac:dyDescent="0.25">
      <c r="I431" s="44"/>
      <c r="K431" s="44"/>
      <c r="M431" s="33"/>
      <c r="N431" s="33"/>
      <c r="U431" s="5"/>
    </row>
    <row r="432" spans="9:21" ht="15" x14ac:dyDescent="0.25">
      <c r="I432" s="44"/>
      <c r="K432" s="44"/>
      <c r="M432" s="33"/>
      <c r="N432" s="33"/>
      <c r="U432" s="5"/>
    </row>
    <row r="433" spans="9:21" ht="15" x14ac:dyDescent="0.25">
      <c r="I433" s="44"/>
      <c r="K433" s="44"/>
      <c r="M433" s="33"/>
      <c r="N433" s="33"/>
      <c r="U433" s="5"/>
    </row>
    <row r="434" spans="9:21" ht="15" x14ac:dyDescent="0.25">
      <c r="I434" s="44"/>
      <c r="K434" s="44"/>
      <c r="M434" s="33"/>
      <c r="N434" s="33"/>
      <c r="U434" s="5"/>
    </row>
    <row r="435" spans="9:21" ht="15" x14ac:dyDescent="0.25">
      <c r="I435" s="44"/>
      <c r="K435" s="44"/>
      <c r="M435" s="33"/>
      <c r="N435" s="33"/>
      <c r="U435" s="5"/>
    </row>
    <row r="436" spans="9:21" ht="15" x14ac:dyDescent="0.25">
      <c r="I436" s="44"/>
      <c r="K436" s="44"/>
      <c r="M436" s="33"/>
      <c r="N436" s="33"/>
      <c r="U436" s="5"/>
    </row>
    <row r="437" spans="9:21" ht="15" x14ac:dyDescent="0.25">
      <c r="I437" s="44"/>
      <c r="K437" s="44"/>
      <c r="M437" s="33"/>
      <c r="N437" s="33"/>
      <c r="U437" s="5"/>
    </row>
    <row r="438" spans="9:21" ht="15" x14ac:dyDescent="0.25">
      <c r="I438" s="44"/>
      <c r="K438" s="44"/>
      <c r="M438" s="33"/>
      <c r="N438" s="33"/>
      <c r="U438" s="5"/>
    </row>
    <row r="439" spans="9:21" ht="15" x14ac:dyDescent="0.25">
      <c r="I439" s="44"/>
      <c r="K439" s="44"/>
      <c r="M439" s="33"/>
      <c r="N439" s="33"/>
      <c r="U439" s="5"/>
    </row>
    <row r="440" spans="9:21" ht="15" x14ac:dyDescent="0.25">
      <c r="I440" s="44"/>
      <c r="K440" s="44"/>
      <c r="M440" s="33"/>
      <c r="N440" s="33"/>
      <c r="U440" s="5"/>
    </row>
    <row r="441" spans="9:21" ht="15" x14ac:dyDescent="0.25">
      <c r="I441" s="44"/>
      <c r="K441" s="44"/>
      <c r="M441" s="33"/>
      <c r="N441" s="33"/>
      <c r="U441" s="5"/>
    </row>
    <row r="442" spans="9:21" ht="15" x14ac:dyDescent="0.25">
      <c r="I442" s="44"/>
      <c r="K442" s="44"/>
      <c r="M442" s="33"/>
      <c r="N442" s="33"/>
      <c r="U442" s="5"/>
    </row>
    <row r="443" spans="9:21" ht="15" x14ac:dyDescent="0.25">
      <c r="I443" s="44"/>
      <c r="K443" s="44"/>
      <c r="M443" s="33"/>
      <c r="N443" s="33"/>
      <c r="U443" s="5"/>
    </row>
    <row r="444" spans="9:21" ht="15" x14ac:dyDescent="0.25">
      <c r="I444" s="44"/>
      <c r="K444" s="44"/>
      <c r="M444" s="33"/>
      <c r="N444" s="33"/>
      <c r="U444" s="5"/>
    </row>
    <row r="445" spans="9:21" ht="15" x14ac:dyDescent="0.25">
      <c r="I445" s="44"/>
      <c r="K445" s="44"/>
      <c r="M445" s="33"/>
      <c r="N445" s="33"/>
      <c r="U445" s="5"/>
    </row>
    <row r="446" spans="9:21" ht="15" x14ac:dyDescent="0.25">
      <c r="I446" s="44"/>
      <c r="K446" s="44"/>
      <c r="M446" s="33"/>
      <c r="N446" s="33"/>
      <c r="U446" s="5"/>
    </row>
    <row r="447" spans="9:21" ht="15" x14ac:dyDescent="0.25">
      <c r="I447" s="44"/>
      <c r="K447" s="44"/>
      <c r="M447" s="33"/>
      <c r="N447" s="33"/>
      <c r="U447" s="5"/>
    </row>
    <row r="448" spans="9:21" ht="15" x14ac:dyDescent="0.25">
      <c r="I448" s="44"/>
      <c r="K448" s="44"/>
      <c r="M448" s="33"/>
      <c r="N448" s="33"/>
      <c r="U448" s="5"/>
    </row>
    <row r="449" spans="9:21" ht="15" x14ac:dyDescent="0.25">
      <c r="I449" s="44"/>
      <c r="K449" s="44"/>
      <c r="M449" s="33"/>
      <c r="N449" s="33"/>
      <c r="U449" s="5"/>
    </row>
    <row r="450" spans="9:21" ht="15" x14ac:dyDescent="0.25">
      <c r="I450" s="44"/>
      <c r="K450" s="44"/>
      <c r="M450" s="33"/>
      <c r="N450" s="33"/>
      <c r="U450" s="5"/>
    </row>
    <row r="451" spans="9:21" ht="15" x14ac:dyDescent="0.25">
      <c r="I451" s="44"/>
      <c r="K451" s="44"/>
      <c r="M451" s="33"/>
      <c r="N451" s="33"/>
      <c r="U451" s="5"/>
    </row>
    <row r="452" spans="9:21" ht="15" x14ac:dyDescent="0.25">
      <c r="I452" s="44"/>
      <c r="K452" s="44"/>
      <c r="M452" s="33"/>
      <c r="N452" s="33"/>
      <c r="U452" s="5"/>
    </row>
    <row r="453" spans="9:21" ht="15" x14ac:dyDescent="0.25">
      <c r="I453" s="44"/>
      <c r="K453" s="44"/>
      <c r="M453" s="33"/>
      <c r="N453" s="33"/>
      <c r="U453" s="5"/>
    </row>
    <row r="454" spans="9:21" ht="15" x14ac:dyDescent="0.25">
      <c r="I454" s="44"/>
      <c r="K454" s="44"/>
      <c r="M454" s="33"/>
      <c r="N454" s="33"/>
      <c r="U454" s="5"/>
    </row>
    <row r="455" spans="9:21" ht="15" x14ac:dyDescent="0.25">
      <c r="I455" s="44"/>
      <c r="K455" s="44"/>
      <c r="M455" s="33"/>
      <c r="N455" s="33"/>
      <c r="U455" s="5"/>
    </row>
    <row r="456" spans="9:21" ht="15" x14ac:dyDescent="0.25">
      <c r="I456" s="44"/>
      <c r="K456" s="44"/>
      <c r="M456" s="33"/>
      <c r="N456" s="33"/>
      <c r="U456" s="5"/>
    </row>
    <row r="457" spans="9:21" ht="15" x14ac:dyDescent="0.25">
      <c r="I457" s="44"/>
      <c r="K457" s="44"/>
      <c r="M457" s="33"/>
      <c r="N457" s="33"/>
      <c r="U457" s="5"/>
    </row>
    <row r="458" spans="9:21" ht="15" x14ac:dyDescent="0.25">
      <c r="I458" s="44"/>
      <c r="K458" s="44"/>
      <c r="M458" s="33"/>
      <c r="N458" s="33"/>
      <c r="U458" s="5"/>
    </row>
    <row r="459" spans="9:21" ht="15" x14ac:dyDescent="0.25">
      <c r="I459" s="44"/>
      <c r="K459" s="44"/>
      <c r="M459" s="33"/>
      <c r="N459" s="33"/>
      <c r="U459" s="5"/>
    </row>
    <row r="460" spans="9:21" ht="15" x14ac:dyDescent="0.25">
      <c r="I460" s="44"/>
      <c r="K460" s="44"/>
      <c r="M460" s="33"/>
      <c r="N460" s="33"/>
      <c r="U460" s="5"/>
    </row>
    <row r="461" spans="9:21" ht="15" x14ac:dyDescent="0.25">
      <c r="I461" s="44"/>
      <c r="K461" s="44"/>
      <c r="M461" s="33"/>
      <c r="N461" s="33"/>
      <c r="U461" s="5"/>
    </row>
    <row r="462" spans="9:21" ht="15" x14ac:dyDescent="0.25">
      <c r="I462" s="44"/>
      <c r="K462" s="44"/>
      <c r="M462" s="33"/>
      <c r="N462" s="33"/>
      <c r="U462" s="5"/>
    </row>
    <row r="463" spans="9:21" ht="15" x14ac:dyDescent="0.25">
      <c r="I463" s="44"/>
      <c r="K463" s="44"/>
      <c r="M463" s="33"/>
      <c r="N463" s="33"/>
      <c r="U463" s="5"/>
    </row>
    <row r="464" spans="9:21" ht="15" x14ac:dyDescent="0.25">
      <c r="I464" s="44"/>
      <c r="K464" s="44"/>
      <c r="M464" s="33"/>
      <c r="N464" s="33"/>
      <c r="U464" s="5"/>
    </row>
    <row r="465" spans="9:21" ht="15" x14ac:dyDescent="0.25">
      <c r="I465" s="44"/>
      <c r="K465" s="44"/>
      <c r="M465" s="33"/>
      <c r="N465" s="33"/>
      <c r="U465" s="5"/>
    </row>
    <row r="466" spans="9:21" ht="15" x14ac:dyDescent="0.25">
      <c r="I466" s="44"/>
      <c r="K466" s="44"/>
      <c r="M466" s="33"/>
      <c r="N466" s="33"/>
      <c r="U466" s="5"/>
    </row>
    <row r="467" spans="9:21" ht="15" x14ac:dyDescent="0.25">
      <c r="I467" s="44"/>
      <c r="K467" s="44"/>
      <c r="M467" s="33"/>
      <c r="N467" s="33"/>
      <c r="U467" s="5"/>
    </row>
    <row r="468" spans="9:21" ht="15" x14ac:dyDescent="0.25">
      <c r="I468" s="44"/>
      <c r="K468" s="44"/>
      <c r="M468" s="33"/>
      <c r="N468" s="33"/>
      <c r="U468" s="5"/>
    </row>
    <row r="469" spans="9:21" ht="15" x14ac:dyDescent="0.25">
      <c r="I469" s="44"/>
      <c r="K469" s="44"/>
      <c r="M469" s="33"/>
      <c r="N469" s="33"/>
      <c r="U469" s="5"/>
    </row>
    <row r="470" spans="9:21" ht="15" x14ac:dyDescent="0.25">
      <c r="I470" s="44"/>
      <c r="K470" s="44"/>
      <c r="M470" s="33"/>
      <c r="N470" s="33"/>
      <c r="U470" s="5"/>
    </row>
    <row r="471" spans="9:21" ht="15" x14ac:dyDescent="0.25">
      <c r="I471" s="44"/>
      <c r="K471" s="44"/>
      <c r="M471" s="33"/>
      <c r="N471" s="33"/>
      <c r="U471" s="5"/>
    </row>
    <row r="472" spans="9:21" ht="15" x14ac:dyDescent="0.25">
      <c r="I472" s="44"/>
      <c r="K472" s="44"/>
      <c r="M472" s="33"/>
      <c r="N472" s="33"/>
      <c r="U472" s="5"/>
    </row>
    <row r="473" spans="9:21" ht="15" x14ac:dyDescent="0.25">
      <c r="I473" s="44"/>
      <c r="K473" s="44"/>
      <c r="M473" s="33"/>
      <c r="N473" s="33"/>
      <c r="U473" s="5"/>
    </row>
    <row r="474" spans="9:21" ht="15" x14ac:dyDescent="0.25">
      <c r="I474" s="44"/>
      <c r="K474" s="44"/>
      <c r="M474" s="33"/>
      <c r="N474" s="33"/>
      <c r="U474" s="5"/>
    </row>
    <row r="475" spans="9:21" ht="15" x14ac:dyDescent="0.25">
      <c r="I475" s="44"/>
      <c r="K475" s="44"/>
      <c r="M475" s="33"/>
      <c r="N475" s="33"/>
      <c r="U475" s="5"/>
    </row>
    <row r="476" spans="9:21" ht="15" x14ac:dyDescent="0.25">
      <c r="I476" s="44"/>
      <c r="K476" s="44"/>
      <c r="M476" s="33"/>
      <c r="N476" s="33"/>
      <c r="U476" s="5"/>
    </row>
    <row r="477" spans="9:21" ht="15" x14ac:dyDescent="0.25">
      <c r="I477" s="44"/>
      <c r="K477" s="44"/>
      <c r="M477" s="33"/>
      <c r="N477" s="33"/>
      <c r="U477" s="5"/>
    </row>
    <row r="478" spans="9:21" ht="15" x14ac:dyDescent="0.25">
      <c r="I478" s="44"/>
      <c r="K478" s="44"/>
      <c r="M478" s="33"/>
      <c r="N478" s="33"/>
      <c r="U478" s="5"/>
    </row>
    <row r="479" spans="9:21" ht="15" x14ac:dyDescent="0.25">
      <c r="I479" s="44"/>
      <c r="K479" s="44"/>
      <c r="M479" s="33"/>
      <c r="N479" s="33"/>
      <c r="U479" s="5"/>
    </row>
    <row r="480" spans="9:21" ht="15" x14ac:dyDescent="0.25">
      <c r="I480" s="44"/>
      <c r="K480" s="44"/>
      <c r="M480" s="33"/>
      <c r="N480" s="33"/>
      <c r="U480" s="5"/>
    </row>
    <row r="481" spans="9:21" ht="15" x14ac:dyDescent="0.25">
      <c r="I481" s="44"/>
      <c r="K481" s="44"/>
      <c r="M481" s="33"/>
      <c r="N481" s="33"/>
      <c r="U481" s="5"/>
    </row>
    <row r="482" spans="9:21" ht="15" x14ac:dyDescent="0.25">
      <c r="I482" s="44"/>
      <c r="K482" s="44"/>
      <c r="M482" s="33"/>
      <c r="N482" s="33"/>
      <c r="U482" s="5"/>
    </row>
    <row r="483" spans="9:21" ht="15" x14ac:dyDescent="0.25">
      <c r="I483" s="44"/>
      <c r="K483" s="44"/>
      <c r="M483" s="33"/>
      <c r="N483" s="33"/>
      <c r="U483" s="5"/>
    </row>
    <row r="484" spans="9:21" ht="15" x14ac:dyDescent="0.25">
      <c r="I484" s="44"/>
      <c r="K484" s="44"/>
      <c r="M484" s="33"/>
      <c r="N484" s="33"/>
      <c r="U484" s="5"/>
    </row>
    <row r="485" spans="9:21" ht="15" x14ac:dyDescent="0.25">
      <c r="I485" s="44"/>
      <c r="K485" s="44"/>
      <c r="M485" s="33"/>
      <c r="N485" s="33"/>
      <c r="U485" s="5"/>
    </row>
    <row r="486" spans="9:21" ht="15" x14ac:dyDescent="0.25">
      <c r="I486" s="44"/>
      <c r="K486" s="44"/>
      <c r="M486" s="33"/>
      <c r="N486" s="33"/>
      <c r="U486" s="5"/>
    </row>
    <row r="487" spans="9:21" ht="15" x14ac:dyDescent="0.25">
      <c r="I487" s="44"/>
      <c r="K487" s="44"/>
      <c r="M487" s="33"/>
      <c r="N487" s="33"/>
      <c r="U487" s="5"/>
    </row>
    <row r="488" spans="9:21" ht="15" x14ac:dyDescent="0.25">
      <c r="I488" s="44"/>
      <c r="K488" s="44"/>
      <c r="M488" s="33"/>
      <c r="N488" s="33"/>
      <c r="U488" s="5"/>
    </row>
    <row r="489" spans="9:21" ht="15" x14ac:dyDescent="0.25">
      <c r="I489" s="44"/>
      <c r="K489" s="44"/>
      <c r="M489" s="33"/>
      <c r="N489" s="33"/>
      <c r="U489" s="5"/>
    </row>
    <row r="490" spans="9:21" ht="15" x14ac:dyDescent="0.25">
      <c r="I490" s="44"/>
      <c r="K490" s="44"/>
      <c r="M490" s="33"/>
      <c r="N490" s="33"/>
      <c r="U490" s="5"/>
    </row>
    <row r="491" spans="9:21" ht="15" x14ac:dyDescent="0.25">
      <c r="I491" s="44"/>
      <c r="K491" s="44"/>
      <c r="M491" s="33"/>
      <c r="N491" s="33"/>
      <c r="U491" s="5"/>
    </row>
    <row r="492" spans="9:21" ht="15" x14ac:dyDescent="0.25">
      <c r="I492" s="44"/>
      <c r="K492" s="44"/>
      <c r="M492" s="33"/>
      <c r="N492" s="33"/>
      <c r="U492" s="5"/>
    </row>
    <row r="493" spans="9:21" ht="15" x14ac:dyDescent="0.25">
      <c r="I493" s="44"/>
      <c r="K493" s="44"/>
      <c r="M493" s="33"/>
      <c r="N493" s="33"/>
      <c r="U493" s="5"/>
    </row>
    <row r="494" spans="9:21" ht="15" x14ac:dyDescent="0.25">
      <c r="I494" s="44"/>
      <c r="K494" s="44"/>
      <c r="M494" s="33"/>
      <c r="N494" s="33"/>
      <c r="U494" s="5"/>
    </row>
    <row r="495" spans="9:21" ht="15" x14ac:dyDescent="0.25">
      <c r="I495" s="44"/>
      <c r="K495" s="44"/>
      <c r="M495" s="33"/>
      <c r="N495" s="33"/>
      <c r="U495" s="5"/>
    </row>
    <row r="496" spans="9:21" ht="15" x14ac:dyDescent="0.25">
      <c r="I496" s="44"/>
      <c r="K496" s="44"/>
      <c r="M496" s="33"/>
      <c r="N496" s="33"/>
      <c r="U496" s="5"/>
    </row>
    <row r="497" spans="9:21" ht="15" x14ac:dyDescent="0.25">
      <c r="I497" s="44"/>
      <c r="K497" s="44"/>
      <c r="M497" s="33"/>
      <c r="N497" s="33"/>
      <c r="U497" s="5"/>
    </row>
    <row r="498" spans="9:21" ht="15" x14ac:dyDescent="0.25">
      <c r="I498" s="44"/>
      <c r="K498" s="44"/>
      <c r="M498" s="33"/>
      <c r="N498" s="33"/>
      <c r="U498" s="5"/>
    </row>
    <row r="499" spans="9:21" ht="15" x14ac:dyDescent="0.25">
      <c r="I499" s="44"/>
      <c r="K499" s="44"/>
      <c r="M499" s="33"/>
      <c r="N499" s="33"/>
      <c r="U499" s="5"/>
    </row>
    <row r="500" spans="9:21" ht="15" x14ac:dyDescent="0.25">
      <c r="I500" s="44"/>
      <c r="K500" s="44"/>
      <c r="M500" s="33"/>
      <c r="N500" s="33"/>
      <c r="U500" s="5"/>
    </row>
    <row r="501" spans="9:21" ht="15" x14ac:dyDescent="0.25">
      <c r="I501" s="44"/>
      <c r="K501" s="44"/>
      <c r="M501" s="33"/>
      <c r="N501" s="33"/>
      <c r="U501" s="5"/>
    </row>
    <row r="502" spans="9:21" ht="15" x14ac:dyDescent="0.25">
      <c r="I502" s="44"/>
      <c r="K502" s="44"/>
      <c r="M502" s="33"/>
      <c r="N502" s="33"/>
      <c r="U502" s="5"/>
    </row>
    <row r="503" spans="9:21" ht="15" x14ac:dyDescent="0.25">
      <c r="I503" s="44"/>
      <c r="K503" s="44"/>
      <c r="M503" s="33"/>
      <c r="N503" s="33"/>
      <c r="U503" s="5"/>
    </row>
    <row r="504" spans="9:21" ht="15" x14ac:dyDescent="0.25">
      <c r="I504" s="44"/>
      <c r="K504" s="44"/>
      <c r="M504" s="33"/>
      <c r="N504" s="33"/>
      <c r="U504" s="5"/>
    </row>
    <row r="505" spans="9:21" ht="15" x14ac:dyDescent="0.25">
      <c r="I505" s="44"/>
      <c r="K505" s="44"/>
      <c r="M505" s="33"/>
      <c r="N505" s="33"/>
      <c r="U505" s="5"/>
    </row>
    <row r="506" spans="9:21" ht="15" x14ac:dyDescent="0.25">
      <c r="I506" s="44"/>
      <c r="K506" s="44"/>
      <c r="M506" s="33"/>
      <c r="N506" s="33"/>
      <c r="U506" s="5"/>
    </row>
    <row r="507" spans="9:21" ht="15" x14ac:dyDescent="0.25">
      <c r="I507" s="44"/>
      <c r="K507" s="44"/>
      <c r="M507" s="33"/>
      <c r="N507" s="33"/>
      <c r="U507" s="5"/>
    </row>
    <row r="508" spans="9:21" ht="15" x14ac:dyDescent="0.25">
      <c r="I508" s="44"/>
      <c r="K508" s="44"/>
      <c r="M508" s="33"/>
      <c r="N508" s="33"/>
      <c r="U508" s="5"/>
    </row>
    <row r="509" spans="9:21" ht="15" x14ac:dyDescent="0.25">
      <c r="I509" s="44"/>
      <c r="K509" s="44"/>
      <c r="M509" s="33"/>
      <c r="N509" s="33"/>
      <c r="U509" s="5"/>
    </row>
    <row r="510" spans="9:21" ht="15" x14ac:dyDescent="0.25">
      <c r="I510" s="44"/>
      <c r="K510" s="44"/>
      <c r="M510" s="33"/>
      <c r="N510" s="33"/>
      <c r="U510" s="5"/>
    </row>
    <row r="511" spans="9:21" ht="15" x14ac:dyDescent="0.25">
      <c r="I511" s="44"/>
      <c r="K511" s="44"/>
      <c r="M511" s="33"/>
      <c r="N511" s="33"/>
      <c r="U511" s="5"/>
    </row>
    <row r="512" spans="9:21" ht="15" x14ac:dyDescent="0.25">
      <c r="I512" s="44"/>
      <c r="K512" s="44"/>
      <c r="M512" s="33"/>
      <c r="N512" s="33"/>
      <c r="U512" s="5"/>
    </row>
    <row r="513" spans="9:21" ht="15" x14ac:dyDescent="0.25">
      <c r="I513" s="44"/>
      <c r="K513" s="44"/>
      <c r="M513" s="33"/>
      <c r="N513" s="33"/>
      <c r="U513" s="5"/>
    </row>
    <row r="514" spans="9:21" ht="15" x14ac:dyDescent="0.25">
      <c r="I514" s="44"/>
      <c r="K514" s="44"/>
      <c r="M514" s="33"/>
      <c r="N514" s="33"/>
      <c r="U514" s="5"/>
    </row>
    <row r="515" spans="9:21" ht="15" x14ac:dyDescent="0.25">
      <c r="I515" s="44"/>
      <c r="K515" s="44"/>
      <c r="M515" s="33"/>
      <c r="N515" s="33"/>
      <c r="U515" s="5"/>
    </row>
    <row r="516" spans="9:21" ht="15" x14ac:dyDescent="0.25">
      <c r="I516" s="44"/>
      <c r="K516" s="44"/>
      <c r="M516" s="33"/>
      <c r="N516" s="33"/>
      <c r="U516" s="5"/>
    </row>
    <row r="517" spans="9:21" ht="15" x14ac:dyDescent="0.25">
      <c r="I517" s="44"/>
      <c r="K517" s="44"/>
      <c r="M517" s="33"/>
      <c r="N517" s="33"/>
      <c r="U517" s="5"/>
    </row>
    <row r="518" spans="9:21" ht="15" x14ac:dyDescent="0.25">
      <c r="I518" s="44"/>
      <c r="K518" s="44"/>
      <c r="M518" s="33"/>
      <c r="N518" s="33"/>
      <c r="U518" s="5"/>
    </row>
    <row r="519" spans="9:21" ht="15" x14ac:dyDescent="0.25">
      <c r="I519" s="44"/>
      <c r="K519" s="44"/>
      <c r="M519" s="33"/>
      <c r="N519" s="33"/>
      <c r="U519" s="5"/>
    </row>
    <row r="520" spans="9:21" ht="15" x14ac:dyDescent="0.25">
      <c r="I520" s="44"/>
      <c r="K520" s="44"/>
      <c r="M520" s="33"/>
      <c r="N520" s="33"/>
      <c r="U520" s="5"/>
    </row>
    <row r="521" spans="9:21" ht="15" x14ac:dyDescent="0.25">
      <c r="I521" s="44"/>
      <c r="K521" s="44"/>
      <c r="M521" s="33"/>
      <c r="N521" s="33"/>
      <c r="U521" s="5"/>
    </row>
    <row r="522" spans="9:21" ht="15" x14ac:dyDescent="0.25">
      <c r="I522" s="44"/>
      <c r="K522" s="44"/>
      <c r="M522" s="33"/>
      <c r="N522" s="33"/>
      <c r="U522" s="5"/>
    </row>
    <row r="523" spans="9:21" ht="15" x14ac:dyDescent="0.25">
      <c r="I523" s="44"/>
      <c r="K523" s="44"/>
      <c r="M523" s="33"/>
      <c r="N523" s="33"/>
      <c r="U523" s="5"/>
    </row>
    <row r="524" spans="9:21" ht="15" x14ac:dyDescent="0.25">
      <c r="I524" s="44"/>
      <c r="K524" s="44"/>
      <c r="M524" s="33"/>
      <c r="N524" s="33"/>
      <c r="U524" s="5"/>
    </row>
    <row r="525" spans="9:21" ht="15" x14ac:dyDescent="0.25">
      <c r="I525" s="44"/>
      <c r="K525" s="44"/>
      <c r="M525" s="33"/>
      <c r="N525" s="33"/>
      <c r="U525" s="5"/>
    </row>
    <row r="526" spans="9:21" ht="15" x14ac:dyDescent="0.25">
      <c r="I526" s="44"/>
      <c r="K526" s="44"/>
      <c r="M526" s="33"/>
      <c r="N526" s="33"/>
      <c r="U526" s="5"/>
    </row>
    <row r="527" spans="9:21" ht="15" x14ac:dyDescent="0.25">
      <c r="I527" s="44"/>
      <c r="K527" s="44"/>
      <c r="M527" s="33"/>
      <c r="N527" s="33"/>
      <c r="U527" s="5"/>
    </row>
    <row r="528" spans="9:21" ht="15" x14ac:dyDescent="0.25">
      <c r="I528" s="44"/>
      <c r="K528" s="44"/>
      <c r="M528" s="33"/>
      <c r="N528" s="33"/>
      <c r="U528" s="5"/>
    </row>
    <row r="529" spans="9:21" ht="15" x14ac:dyDescent="0.25">
      <c r="I529" s="44"/>
      <c r="K529" s="44"/>
      <c r="M529" s="33"/>
      <c r="N529" s="33"/>
      <c r="U529" s="5"/>
    </row>
    <row r="530" spans="9:21" ht="15" x14ac:dyDescent="0.25">
      <c r="I530" s="44"/>
      <c r="K530" s="44"/>
      <c r="M530" s="33"/>
      <c r="N530" s="33"/>
      <c r="U530" s="5"/>
    </row>
    <row r="531" spans="9:21" ht="15" x14ac:dyDescent="0.25">
      <c r="I531" s="44"/>
      <c r="K531" s="44"/>
      <c r="M531" s="33"/>
      <c r="N531" s="33"/>
      <c r="U531" s="5"/>
    </row>
    <row r="532" spans="9:21" ht="15" x14ac:dyDescent="0.25">
      <c r="I532" s="44"/>
      <c r="K532" s="44"/>
      <c r="M532" s="33"/>
      <c r="N532" s="33"/>
      <c r="U532" s="5"/>
    </row>
    <row r="533" spans="9:21" ht="15" x14ac:dyDescent="0.25">
      <c r="I533" s="44"/>
      <c r="K533" s="44"/>
      <c r="M533" s="33"/>
      <c r="N533" s="33"/>
      <c r="U533" s="5"/>
    </row>
    <row r="534" spans="9:21" ht="15" x14ac:dyDescent="0.25">
      <c r="I534" s="44"/>
      <c r="K534" s="44"/>
      <c r="M534" s="33"/>
      <c r="N534" s="33"/>
      <c r="U534" s="5"/>
    </row>
    <row r="535" spans="9:21" ht="15" x14ac:dyDescent="0.25">
      <c r="I535" s="44"/>
      <c r="K535" s="44"/>
      <c r="M535" s="33"/>
      <c r="N535" s="33"/>
      <c r="U535" s="5"/>
    </row>
    <row r="536" spans="9:21" ht="15" x14ac:dyDescent="0.25">
      <c r="I536" s="44"/>
      <c r="K536" s="44"/>
      <c r="M536" s="33"/>
      <c r="N536" s="33"/>
      <c r="U536" s="5"/>
    </row>
    <row r="537" spans="9:21" ht="15" x14ac:dyDescent="0.25">
      <c r="I537" s="44"/>
      <c r="K537" s="44"/>
      <c r="M537" s="33"/>
      <c r="N537" s="33"/>
      <c r="U537" s="5"/>
    </row>
    <row r="538" spans="9:21" ht="15" x14ac:dyDescent="0.25">
      <c r="I538" s="44"/>
      <c r="K538" s="44"/>
      <c r="M538" s="33"/>
      <c r="N538" s="33"/>
      <c r="U538" s="5"/>
    </row>
    <row r="539" spans="9:21" ht="15" x14ac:dyDescent="0.25">
      <c r="I539" s="44"/>
      <c r="K539" s="44"/>
      <c r="M539" s="33"/>
      <c r="N539" s="33"/>
      <c r="U539" s="5"/>
    </row>
    <row r="540" spans="9:21" ht="15" x14ac:dyDescent="0.25">
      <c r="I540" s="44"/>
      <c r="K540" s="44"/>
      <c r="M540" s="33"/>
      <c r="N540" s="33"/>
      <c r="U540" s="5"/>
    </row>
    <row r="541" spans="9:21" ht="15" x14ac:dyDescent="0.25">
      <c r="I541" s="44"/>
      <c r="K541" s="44"/>
      <c r="M541" s="33"/>
      <c r="N541" s="33"/>
      <c r="U541" s="5"/>
    </row>
    <row r="542" spans="9:21" ht="15" x14ac:dyDescent="0.25">
      <c r="I542" s="44"/>
      <c r="K542" s="44"/>
      <c r="M542" s="33"/>
      <c r="N542" s="33"/>
      <c r="U542" s="5"/>
    </row>
    <row r="543" spans="9:21" ht="15" x14ac:dyDescent="0.25">
      <c r="I543" s="44"/>
      <c r="K543" s="44"/>
      <c r="M543" s="33"/>
      <c r="N543" s="33"/>
      <c r="U543" s="5"/>
    </row>
    <row r="544" spans="9:21" ht="15" x14ac:dyDescent="0.25">
      <c r="I544" s="44"/>
      <c r="K544" s="44"/>
      <c r="M544" s="33"/>
      <c r="N544" s="33"/>
      <c r="U544" s="5"/>
    </row>
    <row r="545" spans="9:21" ht="15" x14ac:dyDescent="0.25">
      <c r="I545" s="44"/>
      <c r="K545" s="44"/>
      <c r="M545" s="33"/>
      <c r="N545" s="33"/>
      <c r="U545" s="5"/>
    </row>
    <row r="546" spans="9:21" ht="15" x14ac:dyDescent="0.25">
      <c r="I546" s="44"/>
      <c r="K546" s="44"/>
      <c r="M546" s="33"/>
      <c r="N546" s="33"/>
      <c r="U546" s="5"/>
    </row>
    <row r="547" spans="9:21" ht="15" x14ac:dyDescent="0.25">
      <c r="I547" s="44"/>
      <c r="K547" s="44"/>
      <c r="M547" s="33"/>
      <c r="N547" s="33"/>
      <c r="U547" s="5"/>
    </row>
    <row r="548" spans="9:21" ht="15" x14ac:dyDescent="0.25">
      <c r="I548" s="44"/>
      <c r="K548" s="44"/>
      <c r="M548" s="33"/>
      <c r="N548" s="33"/>
      <c r="U548" s="5"/>
    </row>
    <row r="549" spans="9:21" ht="15" x14ac:dyDescent="0.25">
      <c r="I549" s="44"/>
      <c r="K549" s="44"/>
      <c r="M549" s="33"/>
      <c r="N549" s="33"/>
      <c r="U549" s="5"/>
    </row>
    <row r="550" spans="9:21" ht="15" x14ac:dyDescent="0.25">
      <c r="I550" s="44"/>
      <c r="K550" s="44"/>
      <c r="M550" s="33"/>
      <c r="N550" s="33"/>
      <c r="U550" s="5"/>
    </row>
    <row r="551" spans="9:21" ht="15" x14ac:dyDescent="0.25">
      <c r="I551" s="44"/>
      <c r="K551" s="44"/>
      <c r="M551" s="33"/>
      <c r="N551" s="33"/>
      <c r="U551" s="5"/>
    </row>
    <row r="552" spans="9:21" ht="15" x14ac:dyDescent="0.25">
      <c r="I552" s="44"/>
      <c r="K552" s="44"/>
      <c r="M552" s="33"/>
      <c r="N552" s="33"/>
      <c r="U552" s="5"/>
    </row>
    <row r="553" spans="9:21" ht="15" x14ac:dyDescent="0.25">
      <c r="I553" s="44"/>
      <c r="K553" s="44"/>
      <c r="M553" s="33"/>
      <c r="N553" s="33"/>
      <c r="U553" s="5"/>
    </row>
    <row r="554" spans="9:21" ht="15" x14ac:dyDescent="0.25">
      <c r="I554" s="44"/>
      <c r="K554" s="44"/>
      <c r="M554" s="33"/>
      <c r="N554" s="33"/>
      <c r="U554" s="5"/>
    </row>
    <row r="555" spans="9:21" ht="15" x14ac:dyDescent="0.25">
      <c r="I555" s="44"/>
      <c r="K555" s="44"/>
      <c r="M555" s="33"/>
      <c r="N555" s="33"/>
      <c r="U555" s="5"/>
    </row>
    <row r="556" spans="9:21" ht="15" x14ac:dyDescent="0.25">
      <c r="I556" s="44"/>
      <c r="K556" s="44"/>
      <c r="M556" s="33"/>
      <c r="N556" s="33"/>
      <c r="U556" s="5"/>
    </row>
    <row r="557" spans="9:21" ht="15" x14ac:dyDescent="0.25">
      <c r="I557" s="44"/>
      <c r="K557" s="44"/>
      <c r="M557" s="33"/>
      <c r="N557" s="33"/>
      <c r="U557" s="5"/>
    </row>
    <row r="558" spans="9:21" ht="15" x14ac:dyDescent="0.25">
      <c r="I558" s="44"/>
      <c r="K558" s="44"/>
      <c r="M558" s="33"/>
      <c r="N558" s="33"/>
      <c r="U558" s="5"/>
    </row>
    <row r="559" spans="9:21" ht="15" x14ac:dyDescent="0.25">
      <c r="I559" s="44"/>
      <c r="K559" s="44"/>
      <c r="M559" s="33"/>
      <c r="N559" s="33"/>
      <c r="U559" s="5"/>
    </row>
    <row r="560" spans="9:21" ht="15" x14ac:dyDescent="0.25">
      <c r="I560" s="44"/>
      <c r="K560" s="44"/>
      <c r="M560" s="33"/>
      <c r="N560" s="33"/>
      <c r="U560" s="5"/>
    </row>
    <row r="561" spans="9:21" ht="15" x14ac:dyDescent="0.25">
      <c r="I561" s="44"/>
      <c r="K561" s="44"/>
      <c r="M561" s="33"/>
      <c r="N561" s="33"/>
      <c r="U561" s="5"/>
    </row>
    <row r="562" spans="9:21" ht="15" x14ac:dyDescent="0.25">
      <c r="I562" s="44"/>
      <c r="K562" s="44"/>
      <c r="M562" s="33"/>
      <c r="N562" s="33"/>
      <c r="U562" s="5"/>
    </row>
    <row r="563" spans="9:21" ht="15" x14ac:dyDescent="0.25">
      <c r="I563" s="44"/>
      <c r="K563" s="44"/>
      <c r="M563" s="33"/>
      <c r="N563" s="33"/>
      <c r="U563" s="5"/>
    </row>
    <row r="564" spans="9:21" ht="15" x14ac:dyDescent="0.25">
      <c r="I564" s="44"/>
      <c r="K564" s="44"/>
      <c r="M564" s="33"/>
      <c r="N564" s="33"/>
      <c r="U564" s="5"/>
    </row>
    <row r="565" spans="9:21" ht="15" x14ac:dyDescent="0.25">
      <c r="I565" s="44"/>
      <c r="K565" s="44"/>
      <c r="M565" s="33"/>
      <c r="N565" s="33"/>
      <c r="U565" s="5"/>
    </row>
    <row r="566" spans="9:21" ht="15" x14ac:dyDescent="0.25">
      <c r="I566" s="44"/>
      <c r="K566" s="44"/>
      <c r="M566" s="33"/>
      <c r="N566" s="33"/>
      <c r="U566" s="5"/>
    </row>
    <row r="567" spans="9:21" ht="15" x14ac:dyDescent="0.25">
      <c r="I567" s="44"/>
      <c r="K567" s="44"/>
      <c r="M567" s="33"/>
      <c r="N567" s="33"/>
      <c r="U567" s="5"/>
    </row>
    <row r="568" spans="9:21" ht="15" x14ac:dyDescent="0.25">
      <c r="I568" s="44"/>
      <c r="K568" s="44"/>
      <c r="M568" s="33"/>
      <c r="N568" s="33"/>
      <c r="U568" s="5"/>
    </row>
    <row r="569" spans="9:21" ht="15" x14ac:dyDescent="0.25">
      <c r="I569" s="44"/>
      <c r="K569" s="44"/>
      <c r="M569" s="33"/>
      <c r="N569" s="33"/>
      <c r="U569" s="5"/>
    </row>
    <row r="570" spans="9:21" ht="15" x14ac:dyDescent="0.25">
      <c r="I570" s="44"/>
      <c r="K570" s="44"/>
      <c r="M570" s="33"/>
      <c r="N570" s="33"/>
      <c r="U570" s="5"/>
    </row>
    <row r="571" spans="9:21" ht="15" x14ac:dyDescent="0.25">
      <c r="I571" s="44"/>
      <c r="K571" s="44"/>
      <c r="M571" s="33"/>
      <c r="N571" s="33"/>
      <c r="U571" s="5"/>
    </row>
    <row r="572" spans="9:21" ht="15" x14ac:dyDescent="0.25">
      <c r="I572" s="44"/>
      <c r="K572" s="44"/>
      <c r="M572" s="33"/>
      <c r="N572" s="33"/>
      <c r="U572" s="5"/>
    </row>
    <row r="573" spans="9:21" ht="15" x14ac:dyDescent="0.25">
      <c r="I573" s="44"/>
      <c r="K573" s="44"/>
      <c r="M573" s="33"/>
      <c r="N573" s="33"/>
      <c r="U573" s="5"/>
    </row>
    <row r="574" spans="9:21" ht="15" x14ac:dyDescent="0.25">
      <c r="I574" s="44"/>
      <c r="K574" s="44"/>
      <c r="M574" s="33"/>
      <c r="N574" s="33"/>
      <c r="U574" s="5"/>
    </row>
    <row r="575" spans="9:21" ht="15" x14ac:dyDescent="0.25">
      <c r="I575" s="44"/>
      <c r="K575" s="44"/>
      <c r="M575" s="33"/>
      <c r="N575" s="33"/>
      <c r="U575" s="5"/>
    </row>
    <row r="576" spans="9:21" ht="15" x14ac:dyDescent="0.25">
      <c r="I576" s="44"/>
      <c r="K576" s="44"/>
      <c r="M576" s="33"/>
      <c r="N576" s="33"/>
      <c r="U576" s="5"/>
    </row>
    <row r="577" spans="9:21" ht="15" x14ac:dyDescent="0.25">
      <c r="I577" s="44"/>
      <c r="K577" s="44"/>
      <c r="M577" s="33"/>
      <c r="N577" s="33"/>
      <c r="U577" s="5"/>
    </row>
    <row r="578" spans="9:21" ht="15" x14ac:dyDescent="0.25">
      <c r="I578" s="44"/>
      <c r="K578" s="44"/>
      <c r="M578" s="33"/>
      <c r="N578" s="33"/>
      <c r="U578" s="5"/>
    </row>
    <row r="579" spans="9:21" ht="15" x14ac:dyDescent="0.25">
      <c r="I579" s="44"/>
      <c r="K579" s="44"/>
      <c r="M579" s="33"/>
      <c r="N579" s="33"/>
      <c r="U579" s="5"/>
    </row>
    <row r="580" spans="9:21" ht="15" x14ac:dyDescent="0.25">
      <c r="I580" s="44"/>
      <c r="K580" s="44"/>
      <c r="M580" s="33"/>
      <c r="N580" s="33"/>
      <c r="U580" s="5"/>
    </row>
    <row r="581" spans="9:21" ht="15" x14ac:dyDescent="0.25">
      <c r="I581" s="44"/>
      <c r="K581" s="44"/>
      <c r="M581" s="33"/>
      <c r="N581" s="33"/>
      <c r="U581" s="5"/>
    </row>
    <row r="582" spans="9:21" ht="15" x14ac:dyDescent="0.25">
      <c r="I582" s="44"/>
      <c r="K582" s="44"/>
      <c r="M582" s="33"/>
      <c r="N582" s="33"/>
      <c r="U582" s="5"/>
    </row>
    <row r="583" spans="9:21" ht="15" x14ac:dyDescent="0.25">
      <c r="I583" s="44"/>
      <c r="K583" s="44"/>
      <c r="M583" s="33"/>
      <c r="N583" s="33"/>
      <c r="U583" s="5"/>
    </row>
    <row r="584" spans="9:21" ht="15" x14ac:dyDescent="0.25">
      <c r="I584" s="44"/>
      <c r="K584" s="44"/>
      <c r="M584" s="33"/>
      <c r="N584" s="33"/>
      <c r="U584" s="5"/>
    </row>
    <row r="585" spans="9:21" ht="15" x14ac:dyDescent="0.25">
      <c r="I585" s="44"/>
      <c r="K585" s="44"/>
      <c r="M585" s="33"/>
      <c r="N585" s="33"/>
      <c r="U585" s="5"/>
    </row>
    <row r="586" spans="9:21" ht="15" x14ac:dyDescent="0.25">
      <c r="I586" s="44"/>
      <c r="K586" s="44"/>
      <c r="M586" s="33"/>
      <c r="N586" s="33"/>
      <c r="U586" s="5"/>
    </row>
    <row r="587" spans="9:21" ht="15" x14ac:dyDescent="0.25">
      <c r="I587" s="44"/>
      <c r="K587" s="44"/>
      <c r="M587" s="33"/>
      <c r="N587" s="33"/>
      <c r="U587" s="5"/>
    </row>
    <row r="588" spans="9:21" ht="15" x14ac:dyDescent="0.25">
      <c r="I588" s="44"/>
      <c r="K588" s="44"/>
      <c r="M588" s="33"/>
      <c r="N588" s="33"/>
      <c r="U588" s="5"/>
    </row>
    <row r="589" spans="9:21" ht="15" x14ac:dyDescent="0.25">
      <c r="I589" s="44"/>
      <c r="K589" s="44"/>
      <c r="M589" s="33"/>
      <c r="N589" s="33"/>
      <c r="U589" s="5"/>
    </row>
    <row r="590" spans="9:21" ht="15" x14ac:dyDescent="0.25">
      <c r="I590" s="44"/>
      <c r="K590" s="44"/>
      <c r="M590" s="33"/>
      <c r="N590" s="33"/>
      <c r="U590" s="5"/>
    </row>
    <row r="591" spans="9:21" ht="15" x14ac:dyDescent="0.25">
      <c r="I591" s="44"/>
      <c r="K591" s="44"/>
      <c r="M591" s="33"/>
      <c r="N591" s="33"/>
      <c r="U591" s="5"/>
    </row>
    <row r="592" spans="9:21" ht="15" x14ac:dyDescent="0.25">
      <c r="I592" s="44"/>
      <c r="K592" s="44"/>
      <c r="M592" s="33"/>
      <c r="N592" s="33"/>
      <c r="U592" s="5"/>
    </row>
    <row r="593" spans="9:21" ht="15" x14ac:dyDescent="0.25">
      <c r="I593" s="44"/>
      <c r="K593" s="44"/>
      <c r="M593" s="33"/>
      <c r="N593" s="33"/>
      <c r="U593" s="5"/>
    </row>
    <row r="594" spans="9:21" ht="15" x14ac:dyDescent="0.25">
      <c r="I594" s="44"/>
      <c r="K594" s="44"/>
      <c r="M594" s="33"/>
      <c r="N594" s="33"/>
      <c r="U594" s="5"/>
    </row>
    <row r="595" spans="9:21" ht="15" x14ac:dyDescent="0.25">
      <c r="I595" s="44"/>
      <c r="K595" s="44"/>
      <c r="M595" s="33"/>
      <c r="N595" s="33"/>
      <c r="U595" s="5"/>
    </row>
    <row r="596" spans="9:21" ht="15" x14ac:dyDescent="0.25">
      <c r="I596" s="44"/>
      <c r="K596" s="44"/>
      <c r="M596" s="33"/>
      <c r="N596" s="33"/>
      <c r="U596" s="5"/>
    </row>
    <row r="597" spans="9:21" ht="15" x14ac:dyDescent="0.25">
      <c r="I597" s="44"/>
      <c r="K597" s="44"/>
      <c r="M597" s="33"/>
      <c r="N597" s="33"/>
      <c r="U597" s="5"/>
    </row>
    <row r="598" spans="9:21" ht="15" x14ac:dyDescent="0.25">
      <c r="I598" s="44"/>
      <c r="K598" s="44"/>
      <c r="M598" s="33"/>
      <c r="N598" s="33"/>
      <c r="U598" s="5"/>
    </row>
    <row r="599" spans="9:21" ht="15" x14ac:dyDescent="0.25">
      <c r="I599" s="44"/>
      <c r="K599" s="44"/>
      <c r="M599" s="33"/>
      <c r="N599" s="33"/>
      <c r="U599" s="5"/>
    </row>
    <row r="600" spans="9:21" ht="15" x14ac:dyDescent="0.25">
      <c r="I600" s="44"/>
      <c r="K600" s="44"/>
      <c r="M600" s="33"/>
      <c r="N600" s="33"/>
      <c r="U600" s="5"/>
    </row>
    <row r="601" spans="9:21" ht="15" x14ac:dyDescent="0.25">
      <c r="I601" s="44"/>
      <c r="K601" s="44"/>
      <c r="M601" s="33"/>
      <c r="N601" s="33"/>
      <c r="U601" s="5"/>
    </row>
    <row r="602" spans="9:21" ht="15" x14ac:dyDescent="0.25">
      <c r="I602" s="44"/>
      <c r="K602" s="44"/>
      <c r="M602" s="33"/>
      <c r="N602" s="33"/>
      <c r="U602" s="5"/>
    </row>
    <row r="603" spans="9:21" ht="15" x14ac:dyDescent="0.25">
      <c r="I603" s="44"/>
      <c r="K603" s="44"/>
      <c r="M603" s="33"/>
      <c r="N603" s="33"/>
      <c r="U603" s="5"/>
    </row>
    <row r="604" spans="9:21" ht="15" x14ac:dyDescent="0.25">
      <c r="I604" s="44"/>
      <c r="K604" s="44"/>
      <c r="M604" s="33"/>
      <c r="N604" s="33"/>
      <c r="U604" s="5"/>
    </row>
    <row r="605" spans="9:21" ht="15" x14ac:dyDescent="0.25">
      <c r="I605" s="44"/>
      <c r="K605" s="44"/>
      <c r="M605" s="33"/>
      <c r="N605" s="33"/>
      <c r="U605" s="5"/>
    </row>
    <row r="606" spans="9:21" ht="15" x14ac:dyDescent="0.25">
      <c r="I606" s="44"/>
      <c r="K606" s="44"/>
      <c r="M606" s="33"/>
      <c r="N606" s="33"/>
      <c r="U606" s="5"/>
    </row>
    <row r="607" spans="9:21" ht="15" x14ac:dyDescent="0.25">
      <c r="I607" s="44"/>
      <c r="K607" s="44"/>
      <c r="M607" s="33"/>
      <c r="N607" s="33"/>
      <c r="U607" s="5"/>
    </row>
    <row r="608" spans="9:21" ht="15" x14ac:dyDescent="0.25">
      <c r="I608" s="44"/>
      <c r="K608" s="44"/>
      <c r="M608" s="33"/>
      <c r="N608" s="33"/>
      <c r="U608" s="5"/>
    </row>
    <row r="609" spans="9:21" ht="15" x14ac:dyDescent="0.25">
      <c r="I609" s="44"/>
      <c r="K609" s="44"/>
      <c r="M609" s="33"/>
      <c r="N609" s="33"/>
      <c r="U609" s="5"/>
    </row>
    <row r="610" spans="9:21" ht="15" x14ac:dyDescent="0.25">
      <c r="I610" s="44"/>
      <c r="K610" s="44"/>
      <c r="M610" s="33"/>
      <c r="N610" s="33"/>
      <c r="U610" s="5"/>
    </row>
    <row r="611" spans="9:21" ht="15" x14ac:dyDescent="0.25">
      <c r="I611" s="44"/>
      <c r="K611" s="44"/>
      <c r="M611" s="33"/>
      <c r="N611" s="33"/>
      <c r="U611" s="5"/>
    </row>
    <row r="612" spans="9:21" ht="15" x14ac:dyDescent="0.25">
      <c r="I612" s="44"/>
      <c r="K612" s="44"/>
      <c r="M612" s="33"/>
      <c r="N612" s="33"/>
      <c r="U612" s="5"/>
    </row>
    <row r="613" spans="9:21" ht="15" x14ac:dyDescent="0.25">
      <c r="I613" s="44"/>
      <c r="K613" s="44"/>
      <c r="M613" s="33"/>
      <c r="N613" s="33"/>
      <c r="U613" s="5"/>
    </row>
    <row r="614" spans="9:21" ht="15" x14ac:dyDescent="0.25">
      <c r="I614" s="44"/>
      <c r="K614" s="44"/>
      <c r="M614" s="33"/>
      <c r="N614" s="33"/>
      <c r="U614" s="5"/>
    </row>
    <row r="615" spans="9:21" ht="15" x14ac:dyDescent="0.25">
      <c r="I615" s="44"/>
      <c r="K615" s="44"/>
      <c r="M615" s="33"/>
      <c r="N615" s="33"/>
      <c r="U615" s="5"/>
    </row>
    <row r="616" spans="9:21" ht="15" x14ac:dyDescent="0.25">
      <c r="I616" s="44"/>
      <c r="K616" s="44"/>
      <c r="M616" s="33"/>
      <c r="N616" s="33"/>
      <c r="U616" s="5"/>
    </row>
    <row r="617" spans="9:21" ht="15" x14ac:dyDescent="0.25">
      <c r="I617" s="44"/>
      <c r="K617" s="44"/>
      <c r="M617" s="33"/>
      <c r="N617" s="33"/>
      <c r="U617" s="5"/>
    </row>
    <row r="618" spans="9:21" ht="15" x14ac:dyDescent="0.25">
      <c r="I618" s="44"/>
      <c r="K618" s="44"/>
      <c r="M618" s="33"/>
      <c r="N618" s="33"/>
      <c r="U618" s="5"/>
    </row>
    <row r="619" spans="9:21" ht="15" x14ac:dyDescent="0.25">
      <c r="I619" s="44"/>
      <c r="K619" s="44"/>
      <c r="M619" s="33"/>
      <c r="N619" s="33"/>
      <c r="U619" s="5"/>
    </row>
    <row r="620" spans="9:21" ht="15" x14ac:dyDescent="0.25">
      <c r="I620" s="44"/>
      <c r="K620" s="44"/>
      <c r="M620" s="33"/>
      <c r="N620" s="33"/>
      <c r="U620" s="5"/>
    </row>
    <row r="621" spans="9:21" ht="15" x14ac:dyDescent="0.25">
      <c r="I621" s="44"/>
      <c r="K621" s="44"/>
      <c r="M621" s="33"/>
      <c r="N621" s="33"/>
      <c r="U621" s="5"/>
    </row>
    <row r="622" spans="9:21" ht="15" x14ac:dyDescent="0.25">
      <c r="I622" s="44"/>
      <c r="K622" s="44"/>
      <c r="M622" s="33"/>
      <c r="N622" s="33"/>
      <c r="U622" s="5"/>
    </row>
    <row r="623" spans="9:21" ht="15" x14ac:dyDescent="0.25">
      <c r="I623" s="44"/>
      <c r="K623" s="44"/>
      <c r="M623" s="33"/>
      <c r="N623" s="33"/>
      <c r="U623" s="5"/>
    </row>
    <row r="624" spans="9:21" ht="15" x14ac:dyDescent="0.25">
      <c r="I624" s="44"/>
      <c r="K624" s="44"/>
      <c r="M624" s="33"/>
      <c r="N624" s="33"/>
      <c r="U624" s="5"/>
    </row>
    <row r="625" spans="9:21" ht="15" x14ac:dyDescent="0.25">
      <c r="I625" s="44"/>
      <c r="K625" s="44"/>
      <c r="M625" s="33"/>
      <c r="N625" s="33"/>
      <c r="U625" s="5"/>
    </row>
    <row r="626" spans="9:21" ht="15" x14ac:dyDescent="0.25">
      <c r="I626" s="44"/>
      <c r="K626" s="44"/>
      <c r="M626" s="33"/>
      <c r="N626" s="33"/>
      <c r="U626" s="5"/>
    </row>
    <row r="627" spans="9:21" ht="15" x14ac:dyDescent="0.25">
      <c r="I627" s="44"/>
      <c r="K627" s="44"/>
      <c r="M627" s="33"/>
      <c r="N627" s="33"/>
      <c r="U627" s="5"/>
    </row>
    <row r="628" spans="9:21" ht="15" x14ac:dyDescent="0.25">
      <c r="I628" s="44"/>
      <c r="K628" s="44"/>
      <c r="M628" s="33"/>
      <c r="N628" s="33"/>
      <c r="U628" s="5"/>
    </row>
    <row r="629" spans="9:21" ht="15" x14ac:dyDescent="0.25">
      <c r="I629" s="44"/>
      <c r="K629" s="44"/>
      <c r="M629" s="33"/>
      <c r="N629" s="33"/>
      <c r="U629" s="5"/>
    </row>
    <row r="630" spans="9:21" ht="15" x14ac:dyDescent="0.25">
      <c r="I630" s="44"/>
      <c r="K630" s="44"/>
      <c r="M630" s="33"/>
      <c r="N630" s="33"/>
      <c r="U630" s="5"/>
    </row>
    <row r="631" spans="9:21" ht="15" x14ac:dyDescent="0.25">
      <c r="I631" s="44"/>
      <c r="K631" s="44"/>
      <c r="M631" s="33"/>
      <c r="N631" s="33"/>
      <c r="U631" s="5"/>
    </row>
    <row r="632" spans="9:21" ht="15" x14ac:dyDescent="0.25">
      <c r="I632" s="44"/>
      <c r="K632" s="44"/>
      <c r="M632" s="33"/>
      <c r="N632" s="33"/>
      <c r="U632" s="5"/>
    </row>
    <row r="633" spans="9:21" ht="15" x14ac:dyDescent="0.25">
      <c r="I633" s="44"/>
      <c r="K633" s="44"/>
      <c r="M633" s="33"/>
      <c r="N633" s="33"/>
      <c r="U633" s="5"/>
    </row>
    <row r="634" spans="9:21" ht="15" x14ac:dyDescent="0.25">
      <c r="I634" s="44"/>
      <c r="K634" s="44"/>
      <c r="M634" s="33"/>
      <c r="N634" s="33"/>
      <c r="U634" s="5"/>
    </row>
    <row r="635" spans="9:21" ht="15" x14ac:dyDescent="0.25">
      <c r="I635" s="44"/>
      <c r="K635" s="44"/>
      <c r="M635" s="33"/>
      <c r="N635" s="33"/>
      <c r="U635" s="5"/>
    </row>
    <row r="636" spans="9:21" ht="15" x14ac:dyDescent="0.25">
      <c r="I636" s="44"/>
      <c r="K636" s="44"/>
      <c r="M636" s="33"/>
      <c r="N636" s="33"/>
      <c r="U636" s="5"/>
    </row>
    <row r="637" spans="9:21" ht="15" x14ac:dyDescent="0.25">
      <c r="I637" s="44"/>
      <c r="K637" s="44"/>
      <c r="M637" s="33"/>
      <c r="N637" s="33"/>
      <c r="U637" s="5"/>
    </row>
    <row r="638" spans="9:21" ht="15" x14ac:dyDescent="0.25">
      <c r="I638" s="44"/>
      <c r="K638" s="44"/>
      <c r="M638" s="33"/>
      <c r="N638" s="33"/>
      <c r="U638" s="5"/>
    </row>
    <row r="639" spans="9:21" ht="15" x14ac:dyDescent="0.25">
      <c r="I639" s="44"/>
      <c r="K639" s="44"/>
      <c r="M639" s="33"/>
      <c r="N639" s="33"/>
      <c r="U639" s="5"/>
    </row>
    <row r="640" spans="9:21" ht="15" x14ac:dyDescent="0.25">
      <c r="I640" s="44"/>
      <c r="K640" s="44"/>
      <c r="M640" s="33"/>
      <c r="N640" s="33"/>
      <c r="U640" s="5"/>
    </row>
    <row r="641" spans="9:21" ht="15" x14ac:dyDescent="0.25">
      <c r="I641" s="44"/>
      <c r="K641" s="44"/>
      <c r="M641" s="33"/>
      <c r="N641" s="33"/>
      <c r="U641" s="5"/>
    </row>
    <row r="642" spans="9:21" ht="15" x14ac:dyDescent="0.25">
      <c r="I642" s="44"/>
      <c r="K642" s="44"/>
      <c r="M642" s="33"/>
      <c r="N642" s="33"/>
      <c r="U642" s="5"/>
    </row>
    <row r="643" spans="9:21" ht="15" x14ac:dyDescent="0.25">
      <c r="I643" s="44"/>
      <c r="K643" s="44"/>
      <c r="M643" s="33"/>
      <c r="N643" s="33"/>
      <c r="U643" s="5"/>
    </row>
    <row r="644" spans="9:21" ht="15" x14ac:dyDescent="0.25">
      <c r="I644" s="44"/>
      <c r="K644" s="44"/>
      <c r="M644" s="33"/>
      <c r="N644" s="33"/>
      <c r="U644" s="5"/>
    </row>
    <row r="645" spans="9:21" ht="15" x14ac:dyDescent="0.25">
      <c r="I645" s="44"/>
      <c r="K645" s="44"/>
      <c r="M645" s="33"/>
      <c r="N645" s="33"/>
      <c r="U645" s="5"/>
    </row>
    <row r="646" spans="9:21" ht="15" x14ac:dyDescent="0.25">
      <c r="I646" s="44"/>
      <c r="K646" s="44"/>
      <c r="M646" s="33"/>
      <c r="N646" s="33"/>
      <c r="U646" s="5"/>
    </row>
    <row r="647" spans="9:21" ht="15" x14ac:dyDescent="0.25">
      <c r="I647" s="44"/>
      <c r="K647" s="44"/>
      <c r="M647" s="33"/>
      <c r="N647" s="33"/>
      <c r="U647" s="5"/>
    </row>
    <row r="648" spans="9:21" ht="15" x14ac:dyDescent="0.25">
      <c r="I648" s="44"/>
      <c r="K648" s="44"/>
      <c r="M648" s="33"/>
      <c r="N648" s="33"/>
      <c r="U648" s="5"/>
    </row>
    <row r="649" spans="9:21" ht="15" x14ac:dyDescent="0.25">
      <c r="I649" s="44"/>
      <c r="K649" s="44"/>
      <c r="M649" s="33"/>
      <c r="N649" s="33"/>
      <c r="U649" s="5"/>
    </row>
    <row r="650" spans="9:21" ht="15" x14ac:dyDescent="0.25">
      <c r="I650" s="44"/>
      <c r="K650" s="44"/>
      <c r="M650" s="33"/>
      <c r="N650" s="33"/>
      <c r="U650" s="5"/>
    </row>
    <row r="651" spans="9:21" ht="15" x14ac:dyDescent="0.25">
      <c r="I651" s="44"/>
      <c r="K651" s="44"/>
      <c r="M651" s="33"/>
      <c r="N651" s="33"/>
      <c r="U651" s="5"/>
    </row>
    <row r="652" spans="9:21" ht="15" x14ac:dyDescent="0.25">
      <c r="I652" s="44"/>
      <c r="K652" s="44"/>
      <c r="M652" s="33"/>
      <c r="N652" s="33"/>
      <c r="U652" s="5"/>
    </row>
    <row r="653" spans="9:21" ht="15" x14ac:dyDescent="0.25">
      <c r="I653" s="44"/>
      <c r="K653" s="44"/>
      <c r="M653" s="33"/>
      <c r="N653" s="33"/>
      <c r="U653" s="5"/>
    </row>
    <row r="654" spans="9:21" ht="15" x14ac:dyDescent="0.25">
      <c r="I654" s="44"/>
      <c r="K654" s="44"/>
      <c r="M654" s="33"/>
      <c r="N654" s="33"/>
      <c r="U654" s="5"/>
    </row>
    <row r="655" spans="9:21" ht="15" x14ac:dyDescent="0.25">
      <c r="I655" s="44"/>
      <c r="K655" s="44"/>
      <c r="M655" s="33"/>
      <c r="N655" s="33"/>
      <c r="U655" s="5"/>
    </row>
    <row r="656" spans="9:21" ht="15" x14ac:dyDescent="0.25">
      <c r="I656" s="44"/>
      <c r="K656" s="44"/>
      <c r="M656" s="33"/>
      <c r="N656" s="33"/>
      <c r="U656" s="5"/>
    </row>
    <row r="657" spans="9:21" ht="15" x14ac:dyDescent="0.25">
      <c r="I657" s="44"/>
      <c r="K657" s="44"/>
      <c r="M657" s="33"/>
      <c r="N657" s="33"/>
      <c r="U657" s="5"/>
    </row>
    <row r="658" spans="9:21" ht="15" x14ac:dyDescent="0.25">
      <c r="I658" s="44"/>
      <c r="K658" s="44"/>
      <c r="M658" s="33"/>
      <c r="N658" s="33"/>
      <c r="U658" s="5"/>
    </row>
    <row r="659" spans="9:21" ht="15" x14ac:dyDescent="0.25">
      <c r="I659" s="44"/>
      <c r="K659" s="44"/>
      <c r="M659" s="33"/>
      <c r="N659" s="33"/>
      <c r="U659" s="5"/>
    </row>
    <row r="660" spans="9:21" ht="15" x14ac:dyDescent="0.25">
      <c r="I660" s="44"/>
      <c r="K660" s="44"/>
      <c r="M660" s="33"/>
      <c r="N660" s="33"/>
      <c r="U660" s="5"/>
    </row>
    <row r="661" spans="9:21" ht="15" x14ac:dyDescent="0.25">
      <c r="I661" s="44"/>
      <c r="K661" s="44"/>
      <c r="M661" s="33"/>
      <c r="N661" s="33"/>
      <c r="U661" s="5"/>
    </row>
    <row r="662" spans="9:21" ht="15" x14ac:dyDescent="0.25">
      <c r="I662" s="44"/>
      <c r="K662" s="44"/>
      <c r="M662" s="33"/>
      <c r="N662" s="33"/>
      <c r="U662" s="5"/>
    </row>
    <row r="663" spans="9:21" ht="15" x14ac:dyDescent="0.25">
      <c r="I663" s="44"/>
      <c r="K663" s="44"/>
      <c r="M663" s="33"/>
      <c r="N663" s="33"/>
      <c r="U663" s="5"/>
    </row>
    <row r="664" spans="9:21" ht="15" x14ac:dyDescent="0.25">
      <c r="I664" s="44"/>
      <c r="K664" s="44"/>
      <c r="M664" s="33"/>
      <c r="N664" s="33"/>
      <c r="U664" s="5"/>
    </row>
    <row r="665" spans="9:21" ht="15" x14ac:dyDescent="0.25">
      <c r="I665" s="44"/>
      <c r="K665" s="44"/>
      <c r="M665" s="33"/>
      <c r="N665" s="33"/>
      <c r="U665" s="5"/>
    </row>
    <row r="666" spans="9:21" ht="15" x14ac:dyDescent="0.25">
      <c r="I666" s="44"/>
      <c r="K666" s="44"/>
      <c r="M666" s="33"/>
      <c r="N666" s="33"/>
      <c r="U666" s="5"/>
    </row>
    <row r="667" spans="9:21" ht="15" x14ac:dyDescent="0.25">
      <c r="I667" s="44"/>
      <c r="K667" s="44"/>
      <c r="M667" s="33"/>
      <c r="N667" s="33"/>
      <c r="U667" s="5"/>
    </row>
    <row r="668" spans="9:21" ht="15" x14ac:dyDescent="0.25">
      <c r="I668" s="44"/>
      <c r="K668" s="44"/>
      <c r="M668" s="33"/>
      <c r="N668" s="33"/>
      <c r="U668" s="5"/>
    </row>
    <row r="669" spans="9:21" ht="15" x14ac:dyDescent="0.25">
      <c r="I669" s="44"/>
      <c r="K669" s="44"/>
      <c r="M669" s="33"/>
      <c r="N669" s="33"/>
      <c r="U669" s="5"/>
    </row>
    <row r="670" spans="9:21" ht="15" x14ac:dyDescent="0.25">
      <c r="I670" s="44"/>
      <c r="K670" s="44"/>
      <c r="M670" s="33"/>
      <c r="N670" s="33"/>
      <c r="U670" s="5"/>
    </row>
    <row r="671" spans="9:21" ht="15" x14ac:dyDescent="0.25">
      <c r="I671" s="44"/>
      <c r="K671" s="44"/>
      <c r="M671" s="33"/>
      <c r="N671" s="33"/>
      <c r="U671" s="5"/>
    </row>
    <row r="672" spans="9:21" ht="15" x14ac:dyDescent="0.25">
      <c r="I672" s="44"/>
      <c r="K672" s="44"/>
      <c r="M672" s="33"/>
      <c r="N672" s="33"/>
      <c r="U672" s="5"/>
    </row>
    <row r="673" spans="9:21" ht="15" x14ac:dyDescent="0.25">
      <c r="I673" s="44"/>
      <c r="K673" s="44"/>
      <c r="M673" s="33"/>
      <c r="N673" s="33"/>
      <c r="U673" s="5"/>
    </row>
    <row r="674" spans="9:21" ht="15" x14ac:dyDescent="0.25">
      <c r="I674" s="44"/>
      <c r="K674" s="44"/>
      <c r="M674" s="33"/>
      <c r="N674" s="33"/>
      <c r="U674" s="5"/>
    </row>
    <row r="675" spans="9:21" ht="15" x14ac:dyDescent="0.25">
      <c r="I675" s="44"/>
      <c r="K675" s="44"/>
      <c r="M675" s="33"/>
      <c r="N675" s="33"/>
      <c r="U675" s="5"/>
    </row>
    <row r="676" spans="9:21" ht="15" x14ac:dyDescent="0.25">
      <c r="I676" s="44"/>
      <c r="K676" s="44"/>
      <c r="M676" s="33"/>
      <c r="N676" s="33"/>
      <c r="U676" s="5"/>
    </row>
    <row r="677" spans="9:21" ht="15" x14ac:dyDescent="0.25">
      <c r="I677" s="44"/>
      <c r="K677" s="44"/>
      <c r="M677" s="33"/>
      <c r="N677" s="33"/>
      <c r="U677" s="5"/>
    </row>
    <row r="678" spans="9:21" ht="15" x14ac:dyDescent="0.25">
      <c r="I678" s="44"/>
      <c r="K678" s="44"/>
      <c r="M678" s="33"/>
      <c r="N678" s="33"/>
      <c r="U678" s="5"/>
    </row>
    <row r="679" spans="9:21" ht="15" x14ac:dyDescent="0.25">
      <c r="I679" s="44"/>
      <c r="K679" s="44"/>
      <c r="M679" s="33"/>
      <c r="N679" s="33"/>
      <c r="U679" s="5"/>
    </row>
    <row r="680" spans="9:21" ht="15" x14ac:dyDescent="0.25">
      <c r="I680" s="44"/>
      <c r="K680" s="44"/>
      <c r="M680" s="33"/>
      <c r="N680" s="33"/>
      <c r="U680" s="5"/>
    </row>
    <row r="681" spans="9:21" ht="15" x14ac:dyDescent="0.25">
      <c r="I681" s="44"/>
      <c r="K681" s="44"/>
      <c r="M681" s="33"/>
      <c r="N681" s="33"/>
      <c r="U681" s="5"/>
    </row>
    <row r="682" spans="9:21" ht="15" x14ac:dyDescent="0.25">
      <c r="I682" s="44"/>
      <c r="K682" s="44"/>
      <c r="M682" s="33"/>
      <c r="N682" s="33"/>
      <c r="U682" s="5"/>
    </row>
    <row r="683" spans="9:21" ht="15" x14ac:dyDescent="0.25">
      <c r="I683" s="44"/>
      <c r="K683" s="44"/>
      <c r="M683" s="33"/>
      <c r="N683" s="33"/>
      <c r="U683" s="5"/>
    </row>
    <row r="684" spans="9:21" ht="15" x14ac:dyDescent="0.25">
      <c r="I684" s="44"/>
      <c r="K684" s="44"/>
      <c r="M684" s="33"/>
      <c r="N684" s="33"/>
      <c r="U684" s="5"/>
    </row>
    <row r="685" spans="9:21" ht="15" x14ac:dyDescent="0.25">
      <c r="I685" s="44"/>
      <c r="K685" s="44"/>
      <c r="M685" s="33"/>
      <c r="N685" s="33"/>
      <c r="U685" s="5"/>
    </row>
    <row r="686" spans="9:21" ht="15" x14ac:dyDescent="0.25">
      <c r="I686" s="44"/>
      <c r="K686" s="44"/>
      <c r="M686" s="33"/>
      <c r="N686" s="33"/>
      <c r="U686" s="5"/>
    </row>
    <row r="687" spans="9:21" ht="15" x14ac:dyDescent="0.25">
      <c r="I687" s="44"/>
      <c r="K687" s="44"/>
      <c r="M687" s="33"/>
      <c r="N687" s="33"/>
      <c r="U687" s="5"/>
    </row>
    <row r="688" spans="9:21" ht="15" x14ac:dyDescent="0.25">
      <c r="I688" s="44"/>
      <c r="K688" s="44"/>
      <c r="M688" s="33"/>
      <c r="N688" s="33"/>
      <c r="U688" s="5"/>
    </row>
    <row r="689" spans="9:21" ht="15" x14ac:dyDescent="0.25">
      <c r="I689" s="44"/>
      <c r="K689" s="44"/>
      <c r="M689" s="33"/>
      <c r="N689" s="33"/>
      <c r="U689" s="5"/>
    </row>
    <row r="690" spans="9:21" ht="15" x14ac:dyDescent="0.25">
      <c r="I690" s="44"/>
      <c r="K690" s="44"/>
      <c r="M690" s="33"/>
      <c r="N690" s="33"/>
      <c r="U690" s="5"/>
    </row>
    <row r="691" spans="9:21" ht="15" x14ac:dyDescent="0.25">
      <c r="I691" s="44"/>
      <c r="K691" s="44"/>
      <c r="M691" s="33"/>
      <c r="N691" s="33"/>
      <c r="U691" s="5"/>
    </row>
    <row r="692" spans="9:21" ht="15" x14ac:dyDescent="0.25">
      <c r="I692" s="44"/>
      <c r="K692" s="44"/>
      <c r="M692" s="33"/>
      <c r="N692" s="33"/>
      <c r="U692" s="5"/>
    </row>
    <row r="693" spans="9:21" ht="15" x14ac:dyDescent="0.25">
      <c r="I693" s="44"/>
      <c r="K693" s="44"/>
      <c r="M693" s="33"/>
      <c r="N693" s="33"/>
      <c r="U693" s="5"/>
    </row>
    <row r="694" spans="9:21" ht="15" x14ac:dyDescent="0.25">
      <c r="I694" s="44"/>
      <c r="K694" s="44"/>
      <c r="M694" s="33"/>
      <c r="N694" s="33"/>
      <c r="U694" s="5"/>
    </row>
    <row r="695" spans="9:21" ht="15" x14ac:dyDescent="0.25">
      <c r="I695" s="44"/>
      <c r="K695" s="44"/>
      <c r="M695" s="33"/>
      <c r="N695" s="33"/>
      <c r="U695" s="5"/>
    </row>
    <row r="696" spans="9:21" ht="15" x14ac:dyDescent="0.25">
      <c r="I696" s="44"/>
      <c r="K696" s="44"/>
      <c r="M696" s="33"/>
      <c r="N696" s="33"/>
      <c r="U696" s="5"/>
    </row>
    <row r="697" spans="9:21" ht="15" x14ac:dyDescent="0.25">
      <c r="I697" s="44"/>
      <c r="K697" s="44"/>
      <c r="M697" s="33"/>
      <c r="N697" s="33"/>
      <c r="U697" s="5"/>
    </row>
    <row r="698" spans="9:21" ht="15" x14ac:dyDescent="0.25">
      <c r="I698" s="44"/>
      <c r="K698" s="44"/>
      <c r="M698" s="33"/>
      <c r="N698" s="33"/>
      <c r="U698" s="5"/>
    </row>
    <row r="699" spans="9:21" ht="15" x14ac:dyDescent="0.25">
      <c r="I699" s="44"/>
      <c r="K699" s="44"/>
      <c r="M699" s="33"/>
      <c r="N699" s="33"/>
      <c r="U699" s="5"/>
    </row>
    <row r="700" spans="9:21" ht="15" x14ac:dyDescent="0.25">
      <c r="I700" s="44"/>
      <c r="K700" s="44"/>
      <c r="M700" s="33"/>
      <c r="N700" s="33"/>
      <c r="U700" s="5"/>
    </row>
    <row r="701" spans="9:21" ht="15" x14ac:dyDescent="0.25">
      <c r="I701" s="44"/>
      <c r="K701" s="44"/>
      <c r="M701" s="33"/>
      <c r="N701" s="33"/>
      <c r="U701" s="5"/>
    </row>
    <row r="702" spans="9:21" ht="15" x14ac:dyDescent="0.25">
      <c r="I702" s="44"/>
      <c r="K702" s="44"/>
      <c r="M702" s="33"/>
      <c r="N702" s="33"/>
      <c r="U702" s="5"/>
    </row>
    <row r="703" spans="9:21" ht="15" x14ac:dyDescent="0.25">
      <c r="I703" s="44"/>
      <c r="K703" s="44"/>
      <c r="M703" s="33"/>
      <c r="N703" s="33"/>
      <c r="U703" s="5"/>
    </row>
    <row r="704" spans="9:21" ht="15" x14ac:dyDescent="0.25">
      <c r="I704" s="44"/>
      <c r="K704" s="44"/>
      <c r="M704" s="33"/>
      <c r="N704" s="33"/>
      <c r="U704" s="5"/>
    </row>
    <row r="705" spans="9:21" ht="15" x14ac:dyDescent="0.25">
      <c r="I705" s="44"/>
      <c r="K705" s="44"/>
      <c r="M705" s="33"/>
      <c r="N705" s="33"/>
      <c r="U705" s="5"/>
    </row>
    <row r="706" spans="9:21" ht="15" x14ac:dyDescent="0.25">
      <c r="I706" s="44"/>
      <c r="K706" s="44"/>
      <c r="M706" s="33"/>
      <c r="N706" s="33"/>
      <c r="U706" s="5"/>
    </row>
    <row r="707" spans="9:21" ht="15" x14ac:dyDescent="0.25">
      <c r="I707" s="44"/>
      <c r="K707" s="44"/>
      <c r="M707" s="33"/>
      <c r="N707" s="33"/>
      <c r="U707" s="5"/>
    </row>
    <row r="708" spans="9:21" ht="15" x14ac:dyDescent="0.25">
      <c r="I708" s="44"/>
      <c r="K708" s="44"/>
      <c r="M708" s="33"/>
      <c r="N708" s="33"/>
      <c r="U708" s="5"/>
    </row>
    <row r="709" spans="9:21" ht="15" x14ac:dyDescent="0.25">
      <c r="I709" s="44"/>
      <c r="K709" s="44"/>
      <c r="M709" s="33"/>
      <c r="N709" s="33"/>
      <c r="U709" s="5"/>
    </row>
    <row r="710" spans="9:21" ht="15" x14ac:dyDescent="0.25">
      <c r="I710" s="44"/>
      <c r="K710" s="44"/>
      <c r="M710" s="33"/>
      <c r="N710" s="33"/>
      <c r="U710" s="5"/>
    </row>
    <row r="711" spans="9:21" ht="15" x14ac:dyDescent="0.25">
      <c r="I711" s="44"/>
      <c r="K711" s="44"/>
      <c r="M711" s="33"/>
      <c r="N711" s="33"/>
      <c r="U711" s="5"/>
    </row>
    <row r="712" spans="9:21" ht="15" x14ac:dyDescent="0.25">
      <c r="I712" s="44"/>
      <c r="K712" s="44"/>
      <c r="M712" s="33"/>
      <c r="N712" s="33"/>
      <c r="U712" s="5"/>
    </row>
    <row r="713" spans="9:21" ht="15" x14ac:dyDescent="0.25">
      <c r="I713" s="44"/>
      <c r="K713" s="44"/>
      <c r="M713" s="33"/>
      <c r="N713" s="33"/>
      <c r="U713" s="5"/>
    </row>
    <row r="714" spans="9:21" ht="15" x14ac:dyDescent="0.25">
      <c r="I714" s="44"/>
      <c r="K714" s="44"/>
      <c r="M714" s="33"/>
      <c r="N714" s="33"/>
      <c r="U714" s="5"/>
    </row>
    <row r="715" spans="9:21" ht="15" x14ac:dyDescent="0.25">
      <c r="I715" s="44"/>
      <c r="K715" s="44"/>
      <c r="M715" s="33"/>
      <c r="N715" s="33"/>
      <c r="U715" s="5"/>
    </row>
    <row r="716" spans="9:21" ht="15" x14ac:dyDescent="0.25">
      <c r="I716" s="44"/>
      <c r="K716" s="44"/>
      <c r="M716" s="33"/>
      <c r="N716" s="33"/>
      <c r="U716" s="5"/>
    </row>
    <row r="717" spans="9:21" ht="15" x14ac:dyDescent="0.25">
      <c r="I717" s="44"/>
      <c r="K717" s="44"/>
      <c r="M717" s="33"/>
      <c r="N717" s="33"/>
      <c r="U717" s="5"/>
    </row>
    <row r="718" spans="9:21" ht="15" x14ac:dyDescent="0.25">
      <c r="I718" s="44"/>
      <c r="K718" s="44"/>
      <c r="M718" s="33"/>
      <c r="N718" s="33"/>
      <c r="U718" s="5"/>
    </row>
    <row r="719" spans="9:21" ht="15" x14ac:dyDescent="0.25">
      <c r="I719" s="44"/>
      <c r="K719" s="44"/>
      <c r="M719" s="33"/>
      <c r="N719" s="33"/>
      <c r="U719" s="5"/>
    </row>
    <row r="720" spans="9:21" ht="15" x14ac:dyDescent="0.25">
      <c r="I720" s="44"/>
      <c r="K720" s="44"/>
      <c r="M720" s="33"/>
      <c r="N720" s="33"/>
      <c r="U720" s="5"/>
    </row>
    <row r="721" spans="9:21" ht="15" x14ac:dyDescent="0.25">
      <c r="I721" s="44"/>
      <c r="K721" s="44"/>
      <c r="M721" s="33"/>
      <c r="N721" s="33"/>
      <c r="U721" s="5"/>
    </row>
    <row r="722" spans="9:21" ht="15" x14ac:dyDescent="0.25">
      <c r="I722" s="44"/>
      <c r="K722" s="44"/>
      <c r="M722" s="33"/>
      <c r="N722" s="33"/>
      <c r="U722" s="5"/>
    </row>
    <row r="723" spans="9:21" ht="15" x14ac:dyDescent="0.25">
      <c r="I723" s="44"/>
      <c r="K723" s="44"/>
      <c r="M723" s="33"/>
      <c r="N723" s="33"/>
      <c r="U723" s="5"/>
    </row>
    <row r="724" spans="9:21" ht="15" x14ac:dyDescent="0.25">
      <c r="I724" s="44"/>
      <c r="K724" s="44"/>
      <c r="M724" s="33"/>
      <c r="N724" s="33"/>
      <c r="U724" s="5"/>
    </row>
    <row r="725" spans="9:21" ht="15" x14ac:dyDescent="0.25">
      <c r="I725" s="44"/>
      <c r="K725" s="44"/>
      <c r="M725" s="33"/>
      <c r="N725" s="33"/>
      <c r="U725" s="5"/>
    </row>
    <row r="726" spans="9:21" ht="15" x14ac:dyDescent="0.25">
      <c r="I726" s="44"/>
      <c r="K726" s="44"/>
      <c r="M726" s="33"/>
      <c r="N726" s="33"/>
      <c r="U726" s="5"/>
    </row>
    <row r="727" spans="9:21" ht="15" x14ac:dyDescent="0.25">
      <c r="I727" s="44"/>
      <c r="K727" s="44"/>
      <c r="M727" s="33"/>
      <c r="N727" s="33"/>
      <c r="U727" s="5"/>
    </row>
    <row r="728" spans="9:21" ht="15" x14ac:dyDescent="0.25">
      <c r="I728" s="44"/>
      <c r="K728" s="44"/>
      <c r="M728" s="33"/>
      <c r="N728" s="33"/>
      <c r="U728" s="5"/>
    </row>
    <row r="729" spans="9:21" ht="15" x14ac:dyDescent="0.25">
      <c r="I729" s="44"/>
      <c r="K729" s="44"/>
      <c r="M729" s="33"/>
      <c r="N729" s="33"/>
      <c r="U729" s="5"/>
    </row>
    <row r="730" spans="9:21" ht="15" x14ac:dyDescent="0.25">
      <c r="I730" s="44"/>
      <c r="K730" s="44"/>
      <c r="M730" s="33"/>
      <c r="N730" s="33"/>
      <c r="U730" s="5"/>
    </row>
    <row r="731" spans="9:21" ht="15" x14ac:dyDescent="0.25">
      <c r="I731" s="44"/>
      <c r="K731" s="44"/>
      <c r="M731" s="33"/>
      <c r="N731" s="33"/>
      <c r="U731" s="5"/>
    </row>
    <row r="732" spans="9:21" ht="15" x14ac:dyDescent="0.25">
      <c r="I732" s="44"/>
      <c r="K732" s="44"/>
      <c r="M732" s="33"/>
      <c r="N732" s="33"/>
      <c r="U732" s="5"/>
    </row>
    <row r="733" spans="9:21" ht="15" x14ac:dyDescent="0.25">
      <c r="I733" s="44"/>
      <c r="K733" s="44"/>
      <c r="M733" s="33"/>
      <c r="N733" s="33"/>
      <c r="U733" s="5"/>
    </row>
    <row r="734" spans="9:21" ht="15" x14ac:dyDescent="0.25">
      <c r="I734" s="44"/>
      <c r="K734" s="44"/>
      <c r="M734" s="33"/>
      <c r="N734" s="33"/>
      <c r="U734" s="5"/>
    </row>
    <row r="735" spans="9:21" ht="15" x14ac:dyDescent="0.25">
      <c r="I735" s="44"/>
      <c r="K735" s="44"/>
      <c r="M735" s="33"/>
      <c r="N735" s="33"/>
      <c r="U735" s="5"/>
    </row>
    <row r="736" spans="9:21" ht="15" x14ac:dyDescent="0.25">
      <c r="I736" s="44"/>
      <c r="K736" s="44"/>
      <c r="M736" s="33"/>
      <c r="N736" s="33"/>
      <c r="U736" s="5"/>
    </row>
    <row r="737" spans="9:21" ht="15" x14ac:dyDescent="0.25">
      <c r="I737" s="44"/>
      <c r="K737" s="44"/>
      <c r="M737" s="33"/>
      <c r="N737" s="33"/>
      <c r="U737" s="5"/>
    </row>
    <row r="738" spans="9:21" ht="15" x14ac:dyDescent="0.25">
      <c r="I738" s="44"/>
      <c r="K738" s="44"/>
      <c r="M738" s="33"/>
      <c r="N738" s="33"/>
      <c r="U738" s="5"/>
    </row>
    <row r="739" spans="9:21" ht="15" x14ac:dyDescent="0.25">
      <c r="I739" s="44"/>
      <c r="K739" s="44"/>
      <c r="M739" s="33"/>
      <c r="N739" s="33"/>
      <c r="U739" s="5"/>
    </row>
    <row r="740" spans="9:21" ht="15" x14ac:dyDescent="0.25">
      <c r="I740" s="44"/>
      <c r="K740" s="44"/>
      <c r="M740" s="33"/>
      <c r="N740" s="33"/>
      <c r="U740" s="5"/>
    </row>
    <row r="741" spans="9:21" ht="15" x14ac:dyDescent="0.25">
      <c r="I741" s="44"/>
      <c r="K741" s="44"/>
      <c r="M741" s="33"/>
      <c r="N741" s="33"/>
      <c r="U741" s="5"/>
    </row>
    <row r="742" spans="9:21" ht="15" x14ac:dyDescent="0.25">
      <c r="I742" s="44"/>
      <c r="K742" s="44"/>
      <c r="M742" s="33"/>
      <c r="N742" s="33"/>
      <c r="U742" s="5"/>
    </row>
    <row r="743" spans="9:21" ht="15" x14ac:dyDescent="0.25">
      <c r="I743" s="44"/>
      <c r="K743" s="44"/>
      <c r="M743" s="33"/>
      <c r="N743" s="33"/>
      <c r="U743" s="5"/>
    </row>
    <row r="744" spans="9:21" ht="15" x14ac:dyDescent="0.25">
      <c r="I744" s="44"/>
      <c r="K744" s="44"/>
      <c r="M744" s="33"/>
      <c r="N744" s="33"/>
      <c r="U744" s="5"/>
    </row>
    <row r="745" spans="9:21" ht="15" x14ac:dyDescent="0.25">
      <c r="I745" s="44"/>
      <c r="K745" s="44"/>
      <c r="M745" s="33"/>
      <c r="N745" s="33"/>
      <c r="U745" s="5"/>
    </row>
    <row r="746" spans="9:21" ht="15" x14ac:dyDescent="0.25">
      <c r="I746" s="44"/>
      <c r="K746" s="44"/>
      <c r="M746" s="33"/>
      <c r="N746" s="33"/>
      <c r="U746" s="5"/>
    </row>
    <row r="747" spans="9:21" ht="15" x14ac:dyDescent="0.25">
      <c r="I747" s="44"/>
      <c r="K747" s="44"/>
      <c r="M747" s="33"/>
      <c r="N747" s="33"/>
      <c r="U747" s="5"/>
    </row>
    <row r="748" spans="9:21" ht="15" x14ac:dyDescent="0.25">
      <c r="I748" s="44"/>
      <c r="K748" s="44"/>
      <c r="M748" s="33"/>
      <c r="N748" s="33"/>
      <c r="U748" s="5"/>
    </row>
    <row r="749" spans="9:21" ht="15" x14ac:dyDescent="0.25">
      <c r="I749" s="44"/>
      <c r="K749" s="44"/>
      <c r="M749" s="33"/>
      <c r="N749" s="33"/>
      <c r="U749" s="5"/>
    </row>
    <row r="750" spans="9:21" ht="15" x14ac:dyDescent="0.25">
      <c r="I750" s="44"/>
      <c r="K750" s="44"/>
      <c r="M750" s="33"/>
      <c r="N750" s="33"/>
      <c r="U750" s="5"/>
    </row>
    <row r="751" spans="9:21" ht="15" x14ac:dyDescent="0.25">
      <c r="I751" s="44"/>
      <c r="K751" s="44"/>
      <c r="M751" s="33"/>
      <c r="N751" s="33"/>
      <c r="U751" s="5"/>
    </row>
    <row r="752" spans="9:21" ht="15" x14ac:dyDescent="0.25">
      <c r="I752" s="44"/>
      <c r="K752" s="44"/>
      <c r="M752" s="33"/>
      <c r="N752" s="33"/>
      <c r="U752" s="5"/>
    </row>
    <row r="753" spans="9:21" ht="15" x14ac:dyDescent="0.25">
      <c r="I753" s="44"/>
      <c r="K753" s="44"/>
      <c r="M753" s="33"/>
      <c r="N753" s="33"/>
      <c r="U753" s="5"/>
    </row>
    <row r="754" spans="9:21" ht="15" x14ac:dyDescent="0.25">
      <c r="I754" s="44"/>
      <c r="K754" s="44"/>
      <c r="M754" s="33"/>
      <c r="N754" s="33"/>
      <c r="U754" s="5"/>
    </row>
    <row r="755" spans="9:21" ht="15" x14ac:dyDescent="0.25">
      <c r="I755" s="44"/>
      <c r="K755" s="44"/>
      <c r="M755" s="33"/>
      <c r="N755" s="33"/>
      <c r="U755" s="5"/>
    </row>
    <row r="756" spans="9:21" ht="15" x14ac:dyDescent="0.25">
      <c r="I756" s="44"/>
      <c r="K756" s="44"/>
      <c r="M756" s="33"/>
      <c r="N756" s="33"/>
      <c r="U756" s="5"/>
    </row>
    <row r="757" spans="9:21" ht="15" x14ac:dyDescent="0.25">
      <c r="I757" s="44"/>
      <c r="K757" s="44"/>
      <c r="M757" s="33"/>
      <c r="N757" s="33"/>
      <c r="U757" s="5"/>
    </row>
    <row r="758" spans="9:21" ht="15" x14ac:dyDescent="0.25">
      <c r="I758" s="44"/>
      <c r="K758" s="44"/>
      <c r="M758" s="33"/>
      <c r="N758" s="33"/>
      <c r="U758" s="5"/>
    </row>
    <row r="759" spans="9:21" ht="15" x14ac:dyDescent="0.25">
      <c r="I759" s="44"/>
      <c r="K759" s="44"/>
      <c r="M759" s="33"/>
      <c r="N759" s="33"/>
      <c r="U759" s="5"/>
    </row>
    <row r="760" spans="9:21" ht="15" x14ac:dyDescent="0.25">
      <c r="I760" s="44"/>
      <c r="K760" s="44"/>
      <c r="M760" s="33"/>
      <c r="N760" s="33"/>
      <c r="U760" s="5"/>
    </row>
    <row r="761" spans="9:21" ht="15" x14ac:dyDescent="0.25">
      <c r="I761" s="44"/>
      <c r="K761" s="44"/>
      <c r="M761" s="33"/>
      <c r="N761" s="33"/>
      <c r="U761" s="5"/>
    </row>
    <row r="762" spans="9:21" ht="15" x14ac:dyDescent="0.25">
      <c r="I762" s="44"/>
      <c r="K762" s="44"/>
      <c r="M762" s="33"/>
      <c r="N762" s="33"/>
      <c r="U762" s="5"/>
    </row>
    <row r="763" spans="9:21" ht="15" x14ac:dyDescent="0.25">
      <c r="I763" s="44"/>
      <c r="K763" s="44"/>
      <c r="M763" s="33"/>
      <c r="N763" s="33"/>
      <c r="U763" s="5"/>
    </row>
    <row r="764" spans="9:21" ht="15" x14ac:dyDescent="0.25">
      <c r="I764" s="44"/>
      <c r="K764" s="44"/>
      <c r="M764" s="33"/>
      <c r="N764" s="33"/>
      <c r="U764" s="5"/>
    </row>
    <row r="765" spans="9:21" ht="15" x14ac:dyDescent="0.25">
      <c r="I765" s="44"/>
      <c r="K765" s="44"/>
      <c r="M765" s="33"/>
      <c r="N765" s="33"/>
      <c r="U765" s="5"/>
    </row>
    <row r="766" spans="9:21" ht="15" x14ac:dyDescent="0.25">
      <c r="I766" s="44"/>
      <c r="K766" s="44"/>
      <c r="M766" s="33"/>
      <c r="N766" s="33"/>
      <c r="U766" s="5"/>
    </row>
    <row r="767" spans="9:21" ht="15" x14ac:dyDescent="0.25">
      <c r="I767" s="44"/>
      <c r="K767" s="44"/>
      <c r="M767" s="33"/>
      <c r="N767" s="33"/>
      <c r="U767" s="5"/>
    </row>
    <row r="768" spans="9:21" ht="15" x14ac:dyDescent="0.25">
      <c r="I768" s="44"/>
      <c r="K768" s="44"/>
      <c r="M768" s="33"/>
      <c r="N768" s="33"/>
      <c r="U768" s="5"/>
    </row>
    <row r="769" spans="9:21" ht="15" x14ac:dyDescent="0.25">
      <c r="I769" s="44"/>
      <c r="K769" s="44"/>
      <c r="M769" s="33"/>
      <c r="N769" s="33"/>
      <c r="U769" s="5"/>
    </row>
    <row r="770" spans="9:21" ht="15" x14ac:dyDescent="0.25">
      <c r="I770" s="44"/>
      <c r="K770" s="44"/>
      <c r="M770" s="33"/>
      <c r="N770" s="33"/>
      <c r="U770" s="5"/>
    </row>
    <row r="771" spans="9:21" ht="15" x14ac:dyDescent="0.25">
      <c r="I771" s="44"/>
      <c r="K771" s="44"/>
      <c r="M771" s="33"/>
      <c r="N771" s="33"/>
      <c r="U771" s="5"/>
    </row>
    <row r="772" spans="9:21" ht="15" x14ac:dyDescent="0.25">
      <c r="I772" s="44"/>
      <c r="K772" s="44"/>
      <c r="M772" s="33"/>
      <c r="N772" s="33"/>
      <c r="U772" s="5"/>
    </row>
    <row r="773" spans="9:21" ht="15" x14ac:dyDescent="0.25">
      <c r="I773" s="44"/>
      <c r="K773" s="44"/>
      <c r="M773" s="33"/>
      <c r="N773" s="33"/>
      <c r="U773" s="5"/>
    </row>
    <row r="774" spans="9:21" ht="15" x14ac:dyDescent="0.25">
      <c r="I774" s="44"/>
      <c r="K774" s="44"/>
      <c r="M774" s="33"/>
      <c r="N774" s="33"/>
      <c r="U774" s="5"/>
    </row>
    <row r="775" spans="9:21" ht="15" x14ac:dyDescent="0.25">
      <c r="I775" s="44"/>
      <c r="K775" s="44"/>
      <c r="M775" s="33"/>
      <c r="N775" s="33"/>
      <c r="U775" s="5"/>
    </row>
    <row r="776" spans="9:21" ht="15" x14ac:dyDescent="0.25">
      <c r="I776" s="44"/>
      <c r="K776" s="44"/>
      <c r="M776" s="33"/>
      <c r="N776" s="33"/>
      <c r="U776" s="5"/>
    </row>
    <row r="777" spans="9:21" ht="15" x14ac:dyDescent="0.25">
      <c r="I777" s="44"/>
      <c r="K777" s="44"/>
      <c r="M777" s="33"/>
      <c r="N777" s="33"/>
      <c r="U777" s="5"/>
    </row>
    <row r="778" spans="9:21" ht="15" x14ac:dyDescent="0.25">
      <c r="I778" s="44"/>
      <c r="K778" s="44"/>
      <c r="M778" s="33"/>
      <c r="N778" s="33"/>
      <c r="U778" s="5"/>
    </row>
    <row r="779" spans="9:21" ht="15" x14ac:dyDescent="0.25">
      <c r="I779" s="44"/>
      <c r="K779" s="44"/>
      <c r="M779" s="33"/>
      <c r="N779" s="33"/>
      <c r="U779" s="5"/>
    </row>
    <row r="780" spans="9:21" ht="15" x14ac:dyDescent="0.25">
      <c r="I780" s="44"/>
      <c r="K780" s="44"/>
      <c r="M780" s="33"/>
      <c r="N780" s="33"/>
      <c r="U780" s="5"/>
    </row>
    <row r="781" spans="9:21" ht="15" x14ac:dyDescent="0.25">
      <c r="I781" s="44"/>
      <c r="K781" s="44"/>
      <c r="M781" s="33"/>
      <c r="N781" s="33"/>
      <c r="U781" s="5"/>
    </row>
    <row r="782" spans="9:21" ht="15" x14ac:dyDescent="0.25">
      <c r="I782" s="44"/>
      <c r="K782" s="44"/>
      <c r="M782" s="33"/>
      <c r="N782" s="33"/>
      <c r="U782" s="5"/>
    </row>
    <row r="783" spans="9:21" ht="15" x14ac:dyDescent="0.25">
      <c r="I783" s="44"/>
      <c r="K783" s="44"/>
      <c r="M783" s="33"/>
      <c r="N783" s="33"/>
      <c r="U783" s="5"/>
    </row>
    <row r="784" spans="9:21" ht="15" x14ac:dyDescent="0.25">
      <c r="I784" s="44"/>
      <c r="K784" s="44"/>
      <c r="M784" s="33"/>
      <c r="N784" s="33"/>
      <c r="U784" s="5"/>
    </row>
    <row r="785" spans="9:21" ht="15" x14ac:dyDescent="0.25">
      <c r="I785" s="44"/>
      <c r="K785" s="44"/>
      <c r="M785" s="33"/>
      <c r="N785" s="33"/>
      <c r="U785" s="5"/>
    </row>
    <row r="786" spans="9:21" ht="15" x14ac:dyDescent="0.25">
      <c r="I786" s="44"/>
      <c r="K786" s="44"/>
      <c r="M786" s="33"/>
      <c r="N786" s="33"/>
      <c r="U786" s="5"/>
    </row>
    <row r="787" spans="9:21" ht="15" x14ac:dyDescent="0.25">
      <c r="I787" s="44"/>
      <c r="K787" s="44"/>
      <c r="M787" s="33"/>
      <c r="N787" s="33"/>
      <c r="U787" s="5"/>
    </row>
    <row r="788" spans="9:21" ht="15" x14ac:dyDescent="0.25">
      <c r="I788" s="44"/>
      <c r="K788" s="44"/>
      <c r="M788" s="33"/>
      <c r="N788" s="33"/>
      <c r="U788" s="5"/>
    </row>
    <row r="789" spans="9:21" ht="15" x14ac:dyDescent="0.25">
      <c r="I789" s="44"/>
      <c r="K789" s="44"/>
      <c r="M789" s="33"/>
      <c r="N789" s="33"/>
      <c r="U789" s="5"/>
    </row>
    <row r="790" spans="9:21" ht="15" x14ac:dyDescent="0.25">
      <c r="I790" s="44"/>
      <c r="K790" s="44"/>
      <c r="M790" s="33"/>
      <c r="N790" s="33"/>
      <c r="U790" s="5"/>
    </row>
    <row r="791" spans="9:21" ht="15" x14ac:dyDescent="0.25">
      <c r="I791" s="44"/>
      <c r="K791" s="44"/>
      <c r="M791" s="33"/>
      <c r="N791" s="33"/>
      <c r="U791" s="5"/>
    </row>
    <row r="792" spans="9:21" ht="15" x14ac:dyDescent="0.25">
      <c r="I792" s="44"/>
      <c r="K792" s="44"/>
      <c r="M792" s="33"/>
      <c r="N792" s="33"/>
      <c r="U792" s="5"/>
    </row>
    <row r="793" spans="9:21" ht="15" x14ac:dyDescent="0.25">
      <c r="I793" s="44"/>
      <c r="K793" s="44"/>
      <c r="M793" s="33"/>
      <c r="N793" s="33"/>
      <c r="U793" s="5"/>
    </row>
    <row r="794" spans="9:21" ht="15" x14ac:dyDescent="0.25">
      <c r="I794" s="44"/>
      <c r="K794" s="44"/>
      <c r="M794" s="33"/>
      <c r="N794" s="33"/>
      <c r="U794" s="5"/>
    </row>
    <row r="795" spans="9:21" ht="15" x14ac:dyDescent="0.25">
      <c r="I795" s="44"/>
      <c r="K795" s="44"/>
      <c r="M795" s="33"/>
      <c r="N795" s="33"/>
      <c r="U795" s="5"/>
    </row>
    <row r="796" spans="9:21" ht="15" x14ac:dyDescent="0.25">
      <c r="I796" s="44"/>
      <c r="K796" s="44"/>
      <c r="M796" s="33"/>
      <c r="N796" s="33"/>
      <c r="U796" s="5"/>
    </row>
    <row r="797" spans="9:21" ht="15" x14ac:dyDescent="0.25">
      <c r="I797" s="44"/>
      <c r="K797" s="44"/>
      <c r="M797" s="33"/>
      <c r="N797" s="33"/>
      <c r="U797" s="5"/>
    </row>
    <row r="798" spans="9:21" ht="15" x14ac:dyDescent="0.25">
      <c r="I798" s="44"/>
      <c r="K798" s="44"/>
      <c r="M798" s="33"/>
      <c r="N798" s="33"/>
      <c r="U798" s="5"/>
    </row>
    <row r="799" spans="9:21" ht="15" x14ac:dyDescent="0.25">
      <c r="I799" s="44"/>
      <c r="K799" s="44"/>
      <c r="M799" s="33"/>
      <c r="N799" s="33"/>
      <c r="U799" s="5"/>
    </row>
    <row r="800" spans="9:21" ht="15" x14ac:dyDescent="0.25">
      <c r="I800" s="44"/>
      <c r="K800" s="44"/>
      <c r="M800" s="33"/>
      <c r="N800" s="33"/>
      <c r="U800" s="5"/>
    </row>
    <row r="801" spans="9:21" ht="15" x14ac:dyDescent="0.25">
      <c r="I801" s="44"/>
      <c r="K801" s="44"/>
      <c r="M801" s="33"/>
      <c r="N801" s="33"/>
      <c r="U801" s="5"/>
    </row>
    <row r="802" spans="9:21" ht="15" x14ac:dyDescent="0.25">
      <c r="I802" s="44"/>
      <c r="K802" s="44"/>
      <c r="M802" s="33"/>
      <c r="N802" s="33"/>
      <c r="U802" s="5"/>
    </row>
    <row r="803" spans="9:21" ht="15" x14ac:dyDescent="0.25">
      <c r="I803" s="44"/>
      <c r="K803" s="44"/>
      <c r="M803" s="33"/>
      <c r="N803" s="33"/>
      <c r="U803" s="5"/>
    </row>
    <row r="804" spans="9:21" ht="15" x14ac:dyDescent="0.25">
      <c r="I804" s="44"/>
      <c r="K804" s="44"/>
      <c r="M804" s="33"/>
      <c r="N804" s="33"/>
      <c r="U804" s="5"/>
    </row>
    <row r="805" spans="9:21" ht="15" x14ac:dyDescent="0.25">
      <c r="I805" s="44"/>
      <c r="K805" s="44"/>
      <c r="M805" s="33"/>
      <c r="N805" s="33"/>
      <c r="U805" s="5"/>
    </row>
    <row r="806" spans="9:21" ht="15" x14ac:dyDescent="0.25">
      <c r="I806" s="44"/>
      <c r="K806" s="44"/>
      <c r="M806" s="33"/>
      <c r="N806" s="33"/>
      <c r="U806" s="5"/>
    </row>
    <row r="807" spans="9:21" ht="15" x14ac:dyDescent="0.25">
      <c r="I807" s="44"/>
      <c r="K807" s="44"/>
      <c r="M807" s="33"/>
      <c r="N807" s="33"/>
      <c r="U807" s="5"/>
    </row>
    <row r="808" spans="9:21" ht="15" x14ac:dyDescent="0.25">
      <c r="I808" s="44"/>
      <c r="K808" s="44"/>
      <c r="M808" s="33"/>
      <c r="N808" s="33"/>
      <c r="U808" s="5"/>
    </row>
    <row r="809" spans="9:21" ht="15" x14ac:dyDescent="0.25">
      <c r="I809" s="44"/>
      <c r="K809" s="44"/>
      <c r="M809" s="33"/>
      <c r="N809" s="33"/>
      <c r="U809" s="5"/>
    </row>
    <row r="810" spans="9:21" ht="15" x14ac:dyDescent="0.25">
      <c r="I810" s="44"/>
      <c r="K810" s="44"/>
      <c r="M810" s="33"/>
      <c r="N810" s="33"/>
      <c r="U810" s="5"/>
    </row>
    <row r="811" spans="9:21" ht="15" x14ac:dyDescent="0.25">
      <c r="I811" s="44"/>
      <c r="K811" s="44"/>
      <c r="M811" s="33"/>
      <c r="N811" s="33"/>
      <c r="U811" s="5"/>
    </row>
    <row r="812" spans="9:21" ht="15" x14ac:dyDescent="0.25">
      <c r="I812" s="44"/>
      <c r="K812" s="44"/>
      <c r="M812" s="33"/>
      <c r="N812" s="33"/>
      <c r="U812" s="5"/>
    </row>
    <row r="813" spans="9:21" ht="15" x14ac:dyDescent="0.25">
      <c r="I813" s="44"/>
      <c r="K813" s="44"/>
      <c r="M813" s="33"/>
      <c r="N813" s="33"/>
      <c r="U813" s="5"/>
    </row>
    <row r="814" spans="9:21" ht="15" x14ac:dyDescent="0.25">
      <c r="I814" s="44"/>
      <c r="K814" s="44"/>
      <c r="M814" s="33"/>
      <c r="N814" s="33"/>
      <c r="U814" s="5"/>
    </row>
    <row r="815" spans="9:21" ht="15" x14ac:dyDescent="0.25">
      <c r="I815" s="44"/>
      <c r="K815" s="44"/>
      <c r="M815" s="33"/>
      <c r="N815" s="33"/>
      <c r="U815" s="5"/>
    </row>
    <row r="816" spans="9:21" ht="15" x14ac:dyDescent="0.25">
      <c r="I816" s="44"/>
      <c r="K816" s="44"/>
      <c r="M816" s="33"/>
      <c r="N816" s="33"/>
      <c r="U816" s="5"/>
    </row>
    <row r="817" spans="9:21" ht="15" x14ac:dyDescent="0.25">
      <c r="I817" s="44"/>
      <c r="K817" s="44"/>
      <c r="M817" s="33"/>
      <c r="N817" s="33"/>
      <c r="U817" s="5"/>
    </row>
    <row r="818" spans="9:21" ht="15" x14ac:dyDescent="0.25">
      <c r="I818" s="44"/>
      <c r="K818" s="44"/>
      <c r="M818" s="33"/>
      <c r="N818" s="33"/>
      <c r="U818" s="5"/>
    </row>
    <row r="819" spans="9:21" ht="15" x14ac:dyDescent="0.25">
      <c r="I819" s="44"/>
      <c r="K819" s="44"/>
      <c r="M819" s="33"/>
      <c r="N819" s="33"/>
      <c r="U819" s="5"/>
    </row>
    <row r="820" spans="9:21" ht="15" x14ac:dyDescent="0.25">
      <c r="I820" s="44"/>
      <c r="K820" s="44"/>
      <c r="M820" s="33"/>
      <c r="N820" s="33"/>
      <c r="U820" s="5"/>
    </row>
    <row r="821" spans="9:21" ht="15" x14ac:dyDescent="0.25">
      <c r="I821" s="44"/>
      <c r="K821" s="44"/>
      <c r="M821" s="33"/>
      <c r="N821" s="33"/>
      <c r="U821" s="5"/>
    </row>
    <row r="822" spans="9:21" ht="15" x14ac:dyDescent="0.25">
      <c r="I822" s="44"/>
      <c r="K822" s="44"/>
      <c r="M822" s="33"/>
      <c r="N822" s="33"/>
      <c r="U822" s="5"/>
    </row>
    <row r="823" spans="9:21" ht="15" x14ac:dyDescent="0.25">
      <c r="I823" s="44"/>
      <c r="K823" s="44"/>
      <c r="M823" s="33"/>
      <c r="N823" s="33"/>
      <c r="U823" s="5"/>
    </row>
    <row r="824" spans="9:21" ht="15" x14ac:dyDescent="0.25">
      <c r="I824" s="44"/>
      <c r="K824" s="44"/>
      <c r="M824" s="33"/>
      <c r="N824" s="33"/>
      <c r="U824" s="5"/>
    </row>
    <row r="825" spans="9:21" ht="15" x14ac:dyDescent="0.25">
      <c r="I825" s="44"/>
      <c r="K825" s="44"/>
      <c r="M825" s="33"/>
      <c r="N825" s="33"/>
      <c r="U825" s="5"/>
    </row>
    <row r="826" spans="9:21" ht="15" x14ac:dyDescent="0.25">
      <c r="I826" s="44"/>
      <c r="K826" s="44"/>
      <c r="M826" s="33"/>
      <c r="N826" s="33"/>
      <c r="U826" s="5"/>
    </row>
    <row r="827" spans="9:21" ht="15" x14ac:dyDescent="0.25">
      <c r="I827" s="44"/>
      <c r="K827" s="44"/>
      <c r="M827" s="33"/>
      <c r="N827" s="33"/>
      <c r="U827" s="5"/>
    </row>
    <row r="828" spans="9:21" ht="15" x14ac:dyDescent="0.25">
      <c r="I828" s="44"/>
      <c r="K828" s="44"/>
      <c r="M828" s="33"/>
      <c r="N828" s="33"/>
      <c r="U828" s="5"/>
    </row>
    <row r="829" spans="9:21" ht="15" x14ac:dyDescent="0.25">
      <c r="I829" s="44"/>
      <c r="K829" s="44"/>
      <c r="M829" s="33"/>
      <c r="N829" s="33"/>
      <c r="U829" s="5"/>
    </row>
    <row r="830" spans="9:21" ht="15" x14ac:dyDescent="0.25">
      <c r="I830" s="44"/>
      <c r="K830" s="44"/>
      <c r="M830" s="33"/>
      <c r="N830" s="33"/>
      <c r="U830" s="5"/>
    </row>
    <row r="831" spans="9:21" ht="15" x14ac:dyDescent="0.25">
      <c r="I831" s="44"/>
      <c r="K831" s="44"/>
      <c r="M831" s="33"/>
      <c r="N831" s="33"/>
      <c r="U831" s="5"/>
    </row>
    <row r="832" spans="9:21" ht="15" x14ac:dyDescent="0.25">
      <c r="I832" s="44"/>
      <c r="K832" s="44"/>
      <c r="M832" s="33"/>
      <c r="N832" s="33"/>
      <c r="U832" s="5"/>
    </row>
    <row r="833" spans="9:21" ht="15" x14ac:dyDescent="0.25">
      <c r="I833" s="44"/>
      <c r="K833" s="44"/>
      <c r="M833" s="33"/>
      <c r="N833" s="33"/>
      <c r="U833" s="5"/>
    </row>
    <row r="834" spans="9:21" ht="15" x14ac:dyDescent="0.25">
      <c r="I834" s="44"/>
      <c r="K834" s="44"/>
      <c r="M834" s="33"/>
      <c r="N834" s="33"/>
      <c r="U834" s="5"/>
    </row>
    <row r="835" spans="9:21" ht="15" x14ac:dyDescent="0.25">
      <c r="I835" s="44"/>
      <c r="K835" s="44"/>
      <c r="M835" s="33"/>
      <c r="N835" s="33"/>
      <c r="U835" s="5"/>
    </row>
    <row r="836" spans="9:21" ht="15" x14ac:dyDescent="0.25">
      <c r="I836" s="44"/>
      <c r="K836" s="44"/>
      <c r="M836" s="33"/>
      <c r="N836" s="33"/>
      <c r="U836" s="5"/>
    </row>
    <row r="837" spans="9:21" ht="15" x14ac:dyDescent="0.25">
      <c r="I837" s="44"/>
      <c r="K837" s="44"/>
      <c r="M837" s="33"/>
      <c r="N837" s="33"/>
      <c r="U837" s="5"/>
    </row>
    <row r="838" spans="9:21" ht="15" x14ac:dyDescent="0.25">
      <c r="I838" s="44"/>
      <c r="K838" s="44"/>
      <c r="M838" s="33"/>
      <c r="N838" s="33"/>
      <c r="U838" s="5"/>
    </row>
    <row r="839" spans="9:21" ht="15" x14ac:dyDescent="0.25">
      <c r="I839" s="44"/>
      <c r="K839" s="44"/>
      <c r="M839" s="33"/>
      <c r="N839" s="33"/>
      <c r="U839" s="5"/>
    </row>
    <row r="840" spans="9:21" ht="15" x14ac:dyDescent="0.25">
      <c r="I840" s="44"/>
      <c r="K840" s="44"/>
      <c r="M840" s="33"/>
      <c r="N840" s="33"/>
      <c r="U840" s="5"/>
    </row>
    <row r="841" spans="9:21" ht="15" x14ac:dyDescent="0.25">
      <c r="I841" s="44"/>
      <c r="K841" s="44"/>
      <c r="M841" s="33"/>
      <c r="N841" s="33"/>
      <c r="U841" s="5"/>
    </row>
    <row r="842" spans="9:21" ht="15" x14ac:dyDescent="0.25">
      <c r="I842" s="44"/>
      <c r="K842" s="44"/>
      <c r="M842" s="33"/>
      <c r="N842" s="33"/>
      <c r="U842" s="5"/>
    </row>
    <row r="843" spans="9:21" ht="15" x14ac:dyDescent="0.25">
      <c r="I843" s="44"/>
      <c r="K843" s="44"/>
      <c r="M843" s="33"/>
      <c r="N843" s="33"/>
      <c r="U843" s="5"/>
    </row>
    <row r="844" spans="9:21" ht="15" x14ac:dyDescent="0.25">
      <c r="I844" s="44"/>
      <c r="K844" s="44"/>
      <c r="M844" s="33"/>
      <c r="N844" s="33"/>
      <c r="U844" s="5"/>
    </row>
    <row r="845" spans="9:21" ht="15" x14ac:dyDescent="0.25">
      <c r="I845" s="44"/>
      <c r="K845" s="44"/>
      <c r="M845" s="33"/>
      <c r="N845" s="33"/>
      <c r="U845" s="5"/>
    </row>
    <row r="846" spans="9:21" ht="15" x14ac:dyDescent="0.25">
      <c r="I846" s="44"/>
      <c r="K846" s="44"/>
      <c r="M846" s="33"/>
      <c r="N846" s="33"/>
      <c r="U846" s="5"/>
    </row>
    <row r="847" spans="9:21" ht="15" x14ac:dyDescent="0.25">
      <c r="I847" s="44"/>
      <c r="K847" s="44"/>
      <c r="M847" s="33"/>
      <c r="N847" s="33"/>
      <c r="U847" s="5"/>
    </row>
    <row r="848" spans="9:21" ht="15" x14ac:dyDescent="0.25">
      <c r="I848" s="44"/>
      <c r="K848" s="44"/>
      <c r="M848" s="33"/>
      <c r="N848" s="33"/>
      <c r="U848" s="5"/>
    </row>
    <row r="849" spans="9:21" ht="15" x14ac:dyDescent="0.25">
      <c r="I849" s="44"/>
      <c r="K849" s="44"/>
      <c r="M849" s="33"/>
      <c r="N849" s="33"/>
      <c r="U849" s="5"/>
    </row>
    <row r="850" spans="9:21" ht="15" x14ac:dyDescent="0.25">
      <c r="I850" s="44"/>
      <c r="K850" s="44"/>
      <c r="M850" s="33"/>
      <c r="N850" s="33"/>
      <c r="U850" s="5"/>
    </row>
    <row r="851" spans="9:21" ht="15" x14ac:dyDescent="0.25">
      <c r="I851" s="44"/>
      <c r="K851" s="44"/>
      <c r="M851" s="33"/>
      <c r="N851" s="33"/>
      <c r="U851" s="5"/>
    </row>
    <row r="852" spans="9:21" ht="15" x14ac:dyDescent="0.25">
      <c r="I852" s="44"/>
      <c r="K852" s="44"/>
      <c r="M852" s="33"/>
      <c r="N852" s="33"/>
      <c r="U852" s="5"/>
    </row>
    <row r="853" spans="9:21" ht="15" x14ac:dyDescent="0.25">
      <c r="I853" s="44"/>
      <c r="K853" s="44"/>
      <c r="M853" s="33"/>
      <c r="N853" s="33"/>
      <c r="U853" s="5"/>
    </row>
    <row r="854" spans="9:21" ht="15" x14ac:dyDescent="0.25">
      <c r="I854" s="44"/>
      <c r="K854" s="44"/>
      <c r="M854" s="33"/>
      <c r="N854" s="33"/>
      <c r="U854" s="5"/>
    </row>
    <row r="855" spans="9:21" ht="15" x14ac:dyDescent="0.25">
      <c r="I855" s="44"/>
      <c r="K855" s="44"/>
      <c r="M855" s="33"/>
      <c r="N855" s="33"/>
      <c r="U855" s="5"/>
    </row>
    <row r="856" spans="9:21" ht="15" x14ac:dyDescent="0.25">
      <c r="I856" s="44"/>
      <c r="K856" s="44"/>
      <c r="M856" s="33"/>
      <c r="N856" s="33"/>
      <c r="U856" s="5"/>
    </row>
    <row r="857" spans="9:21" ht="15" x14ac:dyDescent="0.25">
      <c r="I857" s="44"/>
      <c r="K857" s="44"/>
      <c r="M857" s="33"/>
      <c r="N857" s="33"/>
      <c r="U857" s="5"/>
    </row>
    <row r="858" spans="9:21" ht="15" x14ac:dyDescent="0.25">
      <c r="I858" s="44"/>
      <c r="K858" s="44"/>
      <c r="M858" s="33"/>
      <c r="N858" s="33"/>
      <c r="U858" s="5"/>
    </row>
    <row r="859" spans="9:21" ht="15" x14ac:dyDescent="0.25">
      <c r="I859" s="44"/>
      <c r="K859" s="44"/>
      <c r="M859" s="33"/>
      <c r="N859" s="33"/>
      <c r="U859" s="5"/>
    </row>
    <row r="860" spans="9:21" ht="15" x14ac:dyDescent="0.25">
      <c r="I860" s="44"/>
      <c r="K860" s="44"/>
      <c r="M860" s="33"/>
      <c r="N860" s="33"/>
      <c r="U860" s="5"/>
    </row>
    <row r="861" spans="9:21" ht="15" x14ac:dyDescent="0.25">
      <c r="I861" s="44"/>
      <c r="K861" s="44"/>
      <c r="M861" s="33"/>
      <c r="N861" s="33"/>
      <c r="U861" s="5"/>
    </row>
    <row r="862" spans="9:21" ht="15" x14ac:dyDescent="0.25">
      <c r="I862" s="44"/>
      <c r="K862" s="44"/>
      <c r="M862" s="33"/>
      <c r="N862" s="33"/>
      <c r="U862" s="5"/>
    </row>
    <row r="863" spans="9:21" ht="15" x14ac:dyDescent="0.25">
      <c r="I863" s="44"/>
      <c r="K863" s="44"/>
      <c r="M863" s="33"/>
      <c r="N863" s="33"/>
      <c r="U863" s="5"/>
    </row>
    <row r="864" spans="9:21" ht="15" x14ac:dyDescent="0.25">
      <c r="I864" s="44"/>
      <c r="K864" s="44"/>
      <c r="M864" s="33"/>
      <c r="N864" s="33"/>
      <c r="U864" s="5"/>
    </row>
    <row r="865" spans="9:21" ht="15" x14ac:dyDescent="0.25">
      <c r="I865" s="44"/>
      <c r="K865" s="44"/>
      <c r="M865" s="33"/>
      <c r="N865" s="33"/>
      <c r="U865" s="5"/>
    </row>
    <row r="866" spans="9:21" ht="15" x14ac:dyDescent="0.25">
      <c r="I866" s="44"/>
      <c r="K866" s="44"/>
      <c r="M866" s="33"/>
      <c r="N866" s="33"/>
      <c r="U866" s="5"/>
    </row>
    <row r="867" spans="9:21" ht="15" x14ac:dyDescent="0.25">
      <c r="I867" s="44"/>
      <c r="K867" s="44"/>
      <c r="M867" s="33"/>
      <c r="N867" s="33"/>
      <c r="U867" s="5"/>
    </row>
    <row r="868" spans="9:21" ht="15" x14ac:dyDescent="0.25">
      <c r="I868" s="44"/>
      <c r="K868" s="44"/>
      <c r="M868" s="33"/>
      <c r="N868" s="33"/>
      <c r="U868" s="5"/>
    </row>
    <row r="869" spans="9:21" ht="15" x14ac:dyDescent="0.25">
      <c r="I869" s="44"/>
      <c r="K869" s="44"/>
      <c r="M869" s="33"/>
      <c r="N869" s="33"/>
      <c r="U869" s="5"/>
    </row>
    <row r="870" spans="9:21" ht="15" x14ac:dyDescent="0.25">
      <c r="I870" s="44"/>
      <c r="K870" s="44"/>
      <c r="M870" s="33"/>
      <c r="N870" s="33"/>
      <c r="U870" s="5"/>
    </row>
    <row r="871" spans="9:21" ht="15" x14ac:dyDescent="0.25">
      <c r="I871" s="44"/>
      <c r="K871" s="44"/>
      <c r="M871" s="33"/>
      <c r="N871" s="33"/>
      <c r="U871" s="5"/>
    </row>
    <row r="872" spans="9:21" ht="15" x14ac:dyDescent="0.25">
      <c r="I872" s="44"/>
      <c r="K872" s="44"/>
      <c r="M872" s="33"/>
      <c r="N872" s="33"/>
      <c r="U872" s="5"/>
    </row>
    <row r="873" spans="9:21" ht="15" x14ac:dyDescent="0.25">
      <c r="I873" s="44"/>
      <c r="K873" s="44"/>
      <c r="M873" s="33"/>
      <c r="N873" s="33"/>
      <c r="U873" s="5"/>
    </row>
    <row r="874" spans="9:21" ht="15" x14ac:dyDescent="0.25">
      <c r="I874" s="44"/>
      <c r="K874" s="44"/>
      <c r="M874" s="33"/>
      <c r="N874" s="33"/>
      <c r="U874" s="5"/>
    </row>
    <row r="875" spans="9:21" ht="15" x14ac:dyDescent="0.25">
      <c r="I875" s="44"/>
      <c r="K875" s="44"/>
      <c r="M875" s="33"/>
      <c r="N875" s="33"/>
      <c r="U875" s="5"/>
    </row>
    <row r="876" spans="9:21" ht="15" x14ac:dyDescent="0.25">
      <c r="I876" s="44"/>
      <c r="K876" s="44"/>
      <c r="M876" s="33"/>
      <c r="N876" s="33"/>
      <c r="U876" s="5"/>
    </row>
    <row r="877" spans="9:21" ht="15" x14ac:dyDescent="0.25">
      <c r="I877" s="44"/>
      <c r="K877" s="44"/>
      <c r="M877" s="33"/>
      <c r="N877" s="33"/>
      <c r="U877" s="5"/>
    </row>
    <row r="878" spans="9:21" ht="15" x14ac:dyDescent="0.25">
      <c r="I878" s="44"/>
      <c r="K878" s="44"/>
      <c r="M878" s="33"/>
      <c r="N878" s="33"/>
      <c r="U878" s="5"/>
    </row>
    <row r="879" spans="9:21" ht="15" x14ac:dyDescent="0.25">
      <c r="I879" s="44"/>
      <c r="K879" s="44"/>
      <c r="M879" s="33"/>
      <c r="N879" s="33"/>
      <c r="U879" s="5"/>
    </row>
    <row r="880" spans="9:21" ht="15" x14ac:dyDescent="0.25">
      <c r="I880" s="44"/>
      <c r="K880" s="44"/>
      <c r="M880" s="33"/>
      <c r="N880" s="33"/>
      <c r="U880" s="5"/>
    </row>
    <row r="881" spans="9:21" ht="15" x14ac:dyDescent="0.25">
      <c r="I881" s="44"/>
      <c r="K881" s="44"/>
      <c r="M881" s="33"/>
      <c r="N881" s="33"/>
      <c r="U881" s="5"/>
    </row>
    <row r="882" spans="9:21" ht="15" x14ac:dyDescent="0.25">
      <c r="I882" s="44"/>
      <c r="K882" s="44"/>
      <c r="M882" s="33"/>
      <c r="N882" s="33"/>
      <c r="U882" s="5"/>
    </row>
    <row r="883" spans="9:21" ht="15" x14ac:dyDescent="0.25">
      <c r="I883" s="44"/>
      <c r="K883" s="44"/>
      <c r="M883" s="33"/>
      <c r="N883" s="33"/>
      <c r="U883" s="5"/>
    </row>
    <row r="884" spans="9:21" ht="15" x14ac:dyDescent="0.25">
      <c r="I884" s="44"/>
      <c r="K884" s="44"/>
      <c r="M884" s="33"/>
      <c r="N884" s="33"/>
      <c r="U884" s="5"/>
    </row>
    <row r="885" spans="9:21" ht="15" x14ac:dyDescent="0.25">
      <c r="I885" s="44"/>
      <c r="K885" s="44"/>
      <c r="M885" s="33"/>
      <c r="N885" s="33"/>
      <c r="U885" s="5"/>
    </row>
    <row r="886" spans="9:21" ht="15" x14ac:dyDescent="0.25">
      <c r="I886" s="44"/>
      <c r="K886" s="44"/>
      <c r="M886" s="33"/>
      <c r="N886" s="33"/>
      <c r="U886" s="5"/>
    </row>
    <row r="887" spans="9:21" ht="15" x14ac:dyDescent="0.25">
      <c r="I887" s="44"/>
      <c r="K887" s="44"/>
      <c r="M887" s="33"/>
      <c r="N887" s="33"/>
      <c r="U887" s="5"/>
    </row>
    <row r="888" spans="9:21" ht="15" x14ac:dyDescent="0.25">
      <c r="I888" s="44"/>
      <c r="K888" s="44"/>
      <c r="M888" s="33"/>
      <c r="N888" s="33"/>
      <c r="U888" s="5"/>
    </row>
    <row r="889" spans="9:21" ht="15" x14ac:dyDescent="0.25">
      <c r="I889" s="44"/>
      <c r="K889" s="44"/>
      <c r="M889" s="33"/>
      <c r="N889" s="33"/>
      <c r="U889" s="5"/>
    </row>
    <row r="890" spans="9:21" ht="15" x14ac:dyDescent="0.25">
      <c r="I890" s="44"/>
      <c r="K890" s="44"/>
      <c r="M890" s="33"/>
      <c r="N890" s="33"/>
      <c r="U890" s="5"/>
    </row>
    <row r="891" spans="9:21" ht="15" x14ac:dyDescent="0.25">
      <c r="I891" s="44"/>
      <c r="K891" s="44"/>
      <c r="M891" s="33"/>
      <c r="N891" s="33"/>
      <c r="U891" s="5"/>
    </row>
    <row r="892" spans="9:21" ht="15" x14ac:dyDescent="0.25">
      <c r="I892" s="44"/>
      <c r="K892" s="44"/>
      <c r="M892" s="33"/>
      <c r="N892" s="33"/>
      <c r="U892" s="5"/>
    </row>
    <row r="893" spans="9:21" ht="15" x14ac:dyDescent="0.25">
      <c r="I893" s="44"/>
      <c r="K893" s="44"/>
      <c r="M893" s="33"/>
      <c r="N893" s="33"/>
      <c r="U893" s="5"/>
    </row>
    <row r="894" spans="9:21" ht="15" x14ac:dyDescent="0.25">
      <c r="I894" s="44"/>
      <c r="K894" s="44"/>
      <c r="M894" s="33"/>
      <c r="N894" s="33"/>
      <c r="U894" s="5"/>
    </row>
    <row r="895" spans="9:21" ht="15" x14ac:dyDescent="0.25">
      <c r="I895" s="44"/>
      <c r="K895" s="44"/>
      <c r="M895" s="33"/>
      <c r="N895" s="33"/>
      <c r="U895" s="5"/>
    </row>
    <row r="896" spans="9:21" ht="15" x14ac:dyDescent="0.25">
      <c r="I896" s="44"/>
      <c r="K896" s="44"/>
      <c r="M896" s="33"/>
      <c r="N896" s="33"/>
      <c r="U896" s="5"/>
    </row>
    <row r="897" spans="9:21" ht="15" x14ac:dyDescent="0.25">
      <c r="I897" s="44"/>
      <c r="K897" s="44"/>
      <c r="M897" s="33"/>
      <c r="N897" s="33"/>
      <c r="U897" s="5"/>
    </row>
    <row r="898" spans="9:21" ht="15" x14ac:dyDescent="0.25">
      <c r="I898" s="44"/>
      <c r="K898" s="44"/>
      <c r="M898" s="33"/>
      <c r="N898" s="33"/>
      <c r="U898" s="5"/>
    </row>
    <row r="899" spans="9:21" ht="15" x14ac:dyDescent="0.25">
      <c r="I899" s="44"/>
      <c r="K899" s="44"/>
      <c r="M899" s="33"/>
      <c r="N899" s="33"/>
      <c r="U899" s="5"/>
    </row>
    <row r="900" spans="9:21" ht="15" x14ac:dyDescent="0.25">
      <c r="I900" s="44"/>
      <c r="K900" s="44"/>
      <c r="M900" s="33"/>
      <c r="N900" s="33"/>
      <c r="U900" s="5"/>
    </row>
    <row r="901" spans="9:21" ht="15" x14ac:dyDescent="0.25">
      <c r="I901" s="44"/>
      <c r="K901" s="44"/>
      <c r="M901" s="33"/>
      <c r="N901" s="33"/>
      <c r="U901" s="5"/>
    </row>
    <row r="902" spans="9:21" ht="15" x14ac:dyDescent="0.25">
      <c r="I902" s="44"/>
      <c r="K902" s="44"/>
      <c r="M902" s="33"/>
      <c r="N902" s="33"/>
      <c r="U902" s="5"/>
    </row>
    <row r="903" spans="9:21" ht="15" x14ac:dyDescent="0.25">
      <c r="I903" s="44"/>
      <c r="K903" s="44"/>
      <c r="M903" s="33"/>
      <c r="N903" s="33"/>
      <c r="U903" s="5"/>
    </row>
    <row r="904" spans="9:21" ht="15" x14ac:dyDescent="0.25">
      <c r="I904" s="44"/>
      <c r="K904" s="44"/>
      <c r="M904" s="33"/>
      <c r="N904" s="33"/>
      <c r="U904" s="5"/>
    </row>
    <row r="905" spans="9:21" ht="15" x14ac:dyDescent="0.25">
      <c r="I905" s="44"/>
      <c r="K905" s="44"/>
      <c r="M905" s="33"/>
      <c r="N905" s="33"/>
      <c r="U905" s="5"/>
    </row>
    <row r="906" spans="9:21" ht="15" x14ac:dyDescent="0.25">
      <c r="I906" s="44"/>
      <c r="K906" s="44"/>
      <c r="M906" s="33"/>
      <c r="N906" s="33"/>
      <c r="U906" s="5"/>
    </row>
    <row r="907" spans="9:21" ht="15" x14ac:dyDescent="0.25">
      <c r="I907" s="44"/>
      <c r="K907" s="44"/>
      <c r="M907" s="33"/>
      <c r="N907" s="33"/>
      <c r="U907" s="5"/>
    </row>
    <row r="908" spans="9:21" ht="15" x14ac:dyDescent="0.25">
      <c r="I908" s="44"/>
      <c r="K908" s="44"/>
      <c r="M908" s="33"/>
      <c r="N908" s="33"/>
      <c r="U908" s="5"/>
    </row>
    <row r="909" spans="9:21" ht="15" x14ac:dyDescent="0.25">
      <c r="I909" s="44"/>
      <c r="K909" s="44"/>
      <c r="M909" s="33"/>
      <c r="N909" s="33"/>
      <c r="U909" s="5"/>
    </row>
    <row r="910" spans="9:21" ht="15" x14ac:dyDescent="0.25">
      <c r="I910" s="44"/>
      <c r="K910" s="44"/>
      <c r="M910" s="33"/>
      <c r="N910" s="33"/>
      <c r="U910" s="5"/>
    </row>
    <row r="911" spans="9:21" ht="15" x14ac:dyDescent="0.25">
      <c r="I911" s="44"/>
      <c r="K911" s="44"/>
      <c r="M911" s="33"/>
      <c r="N911" s="33"/>
      <c r="U911" s="5"/>
    </row>
    <row r="912" spans="9:21" ht="15" x14ac:dyDescent="0.25">
      <c r="I912" s="44"/>
      <c r="K912" s="44"/>
      <c r="M912" s="33"/>
      <c r="N912" s="33"/>
      <c r="U912" s="5"/>
    </row>
    <row r="913" spans="9:21" ht="15" x14ac:dyDescent="0.25">
      <c r="I913" s="44"/>
      <c r="K913" s="44"/>
      <c r="M913" s="33"/>
      <c r="N913" s="33"/>
      <c r="U913" s="5"/>
    </row>
    <row r="914" spans="9:21" ht="15" x14ac:dyDescent="0.25">
      <c r="I914" s="44"/>
      <c r="K914" s="44"/>
      <c r="M914" s="33"/>
      <c r="N914" s="33"/>
      <c r="U914" s="5"/>
    </row>
    <row r="915" spans="9:21" ht="15" x14ac:dyDescent="0.25">
      <c r="I915" s="44"/>
      <c r="K915" s="44"/>
      <c r="M915" s="33"/>
      <c r="N915" s="33"/>
      <c r="U915" s="5"/>
    </row>
    <row r="916" spans="9:21" ht="15" x14ac:dyDescent="0.25">
      <c r="I916" s="44"/>
      <c r="K916" s="44"/>
      <c r="M916" s="33"/>
      <c r="N916" s="33"/>
      <c r="U916" s="5"/>
    </row>
    <row r="917" spans="9:21" ht="15" x14ac:dyDescent="0.25">
      <c r="I917" s="44"/>
      <c r="K917" s="44"/>
      <c r="M917" s="33"/>
      <c r="N917" s="33"/>
      <c r="U917" s="5"/>
    </row>
    <row r="918" spans="9:21" ht="15" x14ac:dyDescent="0.25">
      <c r="I918" s="44"/>
      <c r="K918" s="44"/>
      <c r="M918" s="33"/>
      <c r="N918" s="33"/>
      <c r="U918" s="5"/>
    </row>
    <row r="919" spans="9:21" ht="15" x14ac:dyDescent="0.25">
      <c r="I919" s="44"/>
      <c r="K919" s="44"/>
      <c r="M919" s="33"/>
      <c r="N919" s="33"/>
      <c r="U919" s="5"/>
    </row>
    <row r="920" spans="9:21" ht="15" x14ac:dyDescent="0.25">
      <c r="I920" s="44"/>
      <c r="K920" s="44"/>
      <c r="M920" s="33"/>
      <c r="N920" s="33"/>
      <c r="U920" s="5"/>
    </row>
    <row r="921" spans="9:21" ht="15" x14ac:dyDescent="0.25">
      <c r="I921" s="44"/>
      <c r="K921" s="44"/>
      <c r="M921" s="33"/>
      <c r="N921" s="33"/>
      <c r="U921" s="5"/>
    </row>
    <row r="922" spans="9:21" ht="15" x14ac:dyDescent="0.25">
      <c r="I922" s="44"/>
      <c r="K922" s="44"/>
      <c r="M922" s="33"/>
      <c r="N922" s="33"/>
      <c r="U922" s="5"/>
    </row>
    <row r="923" spans="9:21" ht="15" x14ac:dyDescent="0.25">
      <c r="I923" s="44"/>
      <c r="K923" s="44"/>
      <c r="M923" s="33"/>
      <c r="N923" s="33"/>
      <c r="U923" s="5"/>
    </row>
    <row r="924" spans="9:21" ht="15" x14ac:dyDescent="0.25">
      <c r="I924" s="44"/>
      <c r="K924" s="44"/>
      <c r="M924" s="33"/>
      <c r="N924" s="33"/>
      <c r="U924" s="5"/>
    </row>
    <row r="925" spans="9:21" ht="15" x14ac:dyDescent="0.25">
      <c r="I925" s="44"/>
      <c r="K925" s="44"/>
      <c r="M925" s="33"/>
      <c r="N925" s="33"/>
      <c r="U925" s="5"/>
    </row>
    <row r="926" spans="9:21" ht="15" x14ac:dyDescent="0.25">
      <c r="I926" s="44"/>
      <c r="K926" s="44"/>
      <c r="M926" s="33"/>
      <c r="N926" s="33"/>
      <c r="U926" s="5"/>
    </row>
    <row r="927" spans="9:21" ht="15" x14ac:dyDescent="0.25">
      <c r="I927" s="44"/>
      <c r="K927" s="44"/>
      <c r="M927" s="33"/>
      <c r="N927" s="33"/>
      <c r="U927" s="5"/>
    </row>
    <row r="928" spans="9:21" ht="15" x14ac:dyDescent="0.25">
      <c r="I928" s="44"/>
      <c r="K928" s="44"/>
      <c r="M928" s="33"/>
      <c r="N928" s="33"/>
      <c r="U928" s="5"/>
    </row>
    <row r="929" spans="9:21" ht="15" x14ac:dyDescent="0.25">
      <c r="I929" s="44"/>
      <c r="K929" s="44"/>
      <c r="M929" s="33"/>
      <c r="N929" s="33"/>
      <c r="U929" s="5"/>
    </row>
    <row r="930" spans="9:21" ht="15" x14ac:dyDescent="0.25">
      <c r="I930" s="44"/>
      <c r="K930" s="44"/>
      <c r="M930" s="33"/>
      <c r="N930" s="33"/>
      <c r="U930" s="5"/>
    </row>
    <row r="931" spans="9:21" ht="15" x14ac:dyDescent="0.25">
      <c r="I931" s="44"/>
      <c r="K931" s="44"/>
      <c r="M931" s="33"/>
      <c r="N931" s="33"/>
      <c r="U931" s="5"/>
    </row>
    <row r="932" spans="9:21" ht="15" x14ac:dyDescent="0.25">
      <c r="I932" s="44"/>
      <c r="K932" s="44"/>
      <c r="M932" s="33"/>
      <c r="N932" s="33"/>
      <c r="U932" s="5"/>
    </row>
    <row r="933" spans="9:21" ht="15" x14ac:dyDescent="0.25">
      <c r="I933" s="44"/>
      <c r="K933" s="44"/>
      <c r="M933" s="33"/>
      <c r="N933" s="33"/>
      <c r="U933" s="5"/>
    </row>
    <row r="934" spans="9:21" ht="15" x14ac:dyDescent="0.25">
      <c r="I934" s="44"/>
      <c r="K934" s="44"/>
      <c r="M934" s="33"/>
      <c r="N934" s="33"/>
      <c r="U934" s="5"/>
    </row>
    <row r="935" spans="9:21" ht="15" x14ac:dyDescent="0.25">
      <c r="I935" s="44"/>
      <c r="K935" s="44"/>
      <c r="M935" s="33"/>
      <c r="N935" s="33"/>
      <c r="U935" s="5"/>
    </row>
    <row r="936" spans="9:21" ht="15" x14ac:dyDescent="0.25">
      <c r="I936" s="44"/>
      <c r="K936" s="44"/>
      <c r="M936" s="33"/>
      <c r="N936" s="33"/>
      <c r="U936" s="5"/>
    </row>
    <row r="937" spans="9:21" ht="15" x14ac:dyDescent="0.25">
      <c r="I937" s="44"/>
      <c r="K937" s="44"/>
      <c r="M937" s="33"/>
      <c r="N937" s="33"/>
      <c r="U937" s="5"/>
    </row>
    <row r="938" spans="9:21" ht="15" x14ac:dyDescent="0.25">
      <c r="I938" s="44"/>
      <c r="K938" s="44"/>
      <c r="M938" s="33"/>
      <c r="N938" s="33"/>
      <c r="U938" s="5"/>
    </row>
    <row r="939" spans="9:21" ht="15" x14ac:dyDescent="0.25">
      <c r="I939" s="44"/>
      <c r="K939" s="44"/>
      <c r="M939" s="33"/>
      <c r="N939" s="33"/>
      <c r="U939" s="5"/>
    </row>
    <row r="940" spans="9:21" ht="15" x14ac:dyDescent="0.25">
      <c r="I940" s="44"/>
      <c r="K940" s="44"/>
      <c r="M940" s="33"/>
      <c r="N940" s="33"/>
      <c r="U940" s="5"/>
    </row>
    <row r="941" spans="9:21" ht="15" x14ac:dyDescent="0.25">
      <c r="I941" s="44"/>
      <c r="K941" s="44"/>
      <c r="M941" s="33"/>
      <c r="N941" s="33"/>
      <c r="U941" s="5"/>
    </row>
    <row r="942" spans="9:21" ht="15" x14ac:dyDescent="0.25">
      <c r="I942" s="44"/>
      <c r="K942" s="44"/>
      <c r="M942" s="33"/>
      <c r="N942" s="33"/>
      <c r="U942" s="5"/>
    </row>
    <row r="943" spans="9:21" ht="15" x14ac:dyDescent="0.25">
      <c r="I943" s="44"/>
      <c r="K943" s="44"/>
      <c r="M943" s="33"/>
      <c r="N943" s="33"/>
      <c r="U943" s="5"/>
    </row>
    <row r="944" spans="9:21" ht="15" x14ac:dyDescent="0.25">
      <c r="I944" s="44"/>
      <c r="K944" s="44"/>
      <c r="M944" s="33"/>
      <c r="N944" s="33"/>
      <c r="U944" s="5"/>
    </row>
    <row r="945" spans="9:21" ht="15" x14ac:dyDescent="0.25">
      <c r="I945" s="44"/>
      <c r="K945" s="44"/>
      <c r="M945" s="33"/>
      <c r="N945" s="33"/>
      <c r="U945" s="5"/>
    </row>
    <row r="946" spans="9:21" ht="15" x14ac:dyDescent="0.25">
      <c r="I946" s="44"/>
      <c r="K946" s="44"/>
      <c r="M946" s="33"/>
      <c r="N946" s="33"/>
      <c r="U946" s="5"/>
    </row>
    <row r="947" spans="9:21" ht="15" x14ac:dyDescent="0.25">
      <c r="I947" s="44"/>
      <c r="K947" s="44"/>
      <c r="M947" s="33"/>
      <c r="N947" s="33"/>
      <c r="U947" s="5"/>
    </row>
    <row r="948" spans="9:21" ht="15" x14ac:dyDescent="0.25">
      <c r="I948" s="44"/>
      <c r="K948" s="44"/>
      <c r="M948" s="33"/>
      <c r="N948" s="33"/>
      <c r="U948" s="5"/>
    </row>
    <row r="949" spans="9:21" ht="15" x14ac:dyDescent="0.25">
      <c r="I949" s="44"/>
      <c r="K949" s="44"/>
      <c r="M949" s="33"/>
      <c r="N949" s="33"/>
      <c r="U949" s="5"/>
    </row>
    <row r="950" spans="9:21" ht="15" x14ac:dyDescent="0.25">
      <c r="I950" s="44"/>
      <c r="K950" s="44"/>
      <c r="M950" s="33"/>
      <c r="N950" s="33"/>
      <c r="U950" s="5"/>
    </row>
    <row r="951" spans="9:21" ht="15" x14ac:dyDescent="0.25">
      <c r="I951" s="44"/>
      <c r="K951" s="44"/>
      <c r="M951" s="33"/>
      <c r="N951" s="33"/>
      <c r="U951" s="5"/>
    </row>
    <row r="952" spans="9:21" ht="15" x14ac:dyDescent="0.25">
      <c r="I952" s="44"/>
      <c r="K952" s="44"/>
      <c r="M952" s="33"/>
      <c r="N952" s="33"/>
      <c r="U952" s="5"/>
    </row>
    <row r="953" spans="9:21" ht="15" x14ac:dyDescent="0.25">
      <c r="I953" s="44"/>
      <c r="K953" s="44"/>
      <c r="M953" s="33"/>
      <c r="N953" s="33"/>
      <c r="U953" s="5"/>
    </row>
    <row r="954" spans="9:21" ht="15" x14ac:dyDescent="0.25">
      <c r="I954" s="44"/>
      <c r="K954" s="44"/>
      <c r="M954" s="33"/>
      <c r="N954" s="33"/>
      <c r="U954" s="5"/>
    </row>
    <row r="955" spans="9:21" ht="15" x14ac:dyDescent="0.25">
      <c r="I955" s="44"/>
      <c r="K955" s="44"/>
      <c r="M955" s="33"/>
      <c r="N955" s="33"/>
      <c r="U955" s="5"/>
    </row>
    <row r="956" spans="9:21" ht="15" x14ac:dyDescent="0.25">
      <c r="I956" s="44"/>
      <c r="K956" s="44"/>
      <c r="M956" s="33"/>
      <c r="N956" s="33"/>
      <c r="U956" s="5"/>
    </row>
    <row r="957" spans="9:21" ht="15" x14ac:dyDescent="0.25">
      <c r="I957" s="44"/>
      <c r="K957" s="44"/>
      <c r="M957" s="33"/>
      <c r="N957" s="33"/>
      <c r="U957" s="5"/>
    </row>
    <row r="958" spans="9:21" ht="15" x14ac:dyDescent="0.25">
      <c r="I958" s="44"/>
      <c r="K958" s="44"/>
      <c r="M958" s="33"/>
      <c r="N958" s="33"/>
      <c r="U958" s="5"/>
    </row>
    <row r="959" spans="9:21" ht="15" x14ac:dyDescent="0.25">
      <c r="I959" s="44"/>
      <c r="K959" s="44"/>
      <c r="M959" s="33"/>
      <c r="N959" s="33"/>
      <c r="U959" s="5"/>
    </row>
    <row r="960" spans="9:21" ht="15" x14ac:dyDescent="0.25">
      <c r="I960" s="44"/>
      <c r="K960" s="44"/>
      <c r="M960" s="33"/>
      <c r="N960" s="33"/>
      <c r="U960" s="5"/>
    </row>
    <row r="961" spans="9:21" ht="15" x14ac:dyDescent="0.25">
      <c r="I961" s="44"/>
      <c r="K961" s="44"/>
      <c r="M961" s="33"/>
      <c r="N961" s="33"/>
      <c r="U961" s="5"/>
    </row>
    <row r="962" spans="9:21" ht="15" x14ac:dyDescent="0.25">
      <c r="I962" s="44"/>
      <c r="K962" s="44"/>
      <c r="M962" s="33"/>
      <c r="N962" s="33"/>
      <c r="U962" s="5"/>
    </row>
    <row r="963" spans="9:21" ht="15" x14ac:dyDescent="0.25">
      <c r="I963" s="44"/>
      <c r="K963" s="44"/>
      <c r="M963" s="33"/>
      <c r="N963" s="33"/>
      <c r="U963" s="5"/>
    </row>
    <row r="964" spans="9:21" ht="15" x14ac:dyDescent="0.25">
      <c r="I964" s="44"/>
      <c r="K964" s="44"/>
      <c r="M964" s="33"/>
      <c r="N964" s="33"/>
      <c r="U964" s="5"/>
    </row>
    <row r="965" spans="9:21" ht="15" x14ac:dyDescent="0.25">
      <c r="I965" s="44"/>
      <c r="K965" s="44"/>
      <c r="M965" s="33"/>
      <c r="N965" s="33"/>
      <c r="U965" s="5"/>
    </row>
    <row r="966" spans="9:21" ht="15" x14ac:dyDescent="0.25">
      <c r="I966" s="44"/>
      <c r="K966" s="44"/>
      <c r="M966" s="33"/>
      <c r="N966" s="33"/>
      <c r="U966" s="5"/>
    </row>
    <row r="967" spans="9:21" ht="15" x14ac:dyDescent="0.25">
      <c r="I967" s="44"/>
      <c r="K967" s="44"/>
      <c r="M967" s="33"/>
      <c r="N967" s="33"/>
      <c r="U967" s="5"/>
    </row>
    <row r="968" spans="9:21" ht="15" x14ac:dyDescent="0.25">
      <c r="I968" s="44"/>
      <c r="K968" s="44"/>
      <c r="M968" s="33"/>
      <c r="N968" s="33"/>
      <c r="U968" s="5"/>
    </row>
    <row r="969" spans="9:21" ht="15" x14ac:dyDescent="0.25">
      <c r="I969" s="44"/>
      <c r="K969" s="44"/>
      <c r="M969" s="33"/>
      <c r="N969" s="33"/>
      <c r="U969" s="5"/>
    </row>
    <row r="970" spans="9:21" ht="15" x14ac:dyDescent="0.25">
      <c r="I970" s="44"/>
      <c r="K970" s="44"/>
      <c r="M970" s="33"/>
      <c r="N970" s="33"/>
      <c r="U970" s="5"/>
    </row>
    <row r="971" spans="9:21" ht="15" x14ac:dyDescent="0.25">
      <c r="I971" s="44"/>
      <c r="K971" s="44"/>
      <c r="M971" s="33"/>
      <c r="N971" s="33"/>
      <c r="U971" s="5"/>
    </row>
    <row r="972" spans="9:21" ht="15" x14ac:dyDescent="0.25">
      <c r="I972" s="44"/>
      <c r="K972" s="44"/>
      <c r="M972" s="33"/>
      <c r="N972" s="33"/>
      <c r="U972" s="5"/>
    </row>
    <row r="973" spans="9:21" ht="15" x14ac:dyDescent="0.25">
      <c r="I973" s="44"/>
      <c r="K973" s="44"/>
      <c r="M973" s="33"/>
      <c r="N973" s="33"/>
      <c r="U973" s="5"/>
    </row>
    <row r="974" spans="9:21" ht="15" x14ac:dyDescent="0.25">
      <c r="I974" s="44"/>
      <c r="K974" s="44"/>
      <c r="M974" s="33"/>
      <c r="N974" s="33"/>
      <c r="U974" s="5"/>
    </row>
    <row r="975" spans="9:21" ht="15" x14ac:dyDescent="0.25">
      <c r="I975" s="44"/>
      <c r="K975" s="44"/>
      <c r="M975" s="33"/>
      <c r="N975" s="33"/>
      <c r="U975" s="5"/>
    </row>
    <row r="976" spans="9:21" ht="15" x14ac:dyDescent="0.25">
      <c r="I976" s="44"/>
      <c r="K976" s="44"/>
      <c r="M976" s="33"/>
      <c r="N976" s="33"/>
      <c r="U976" s="5"/>
    </row>
    <row r="977" spans="9:21" ht="15" x14ac:dyDescent="0.25">
      <c r="I977" s="44"/>
      <c r="K977" s="44"/>
      <c r="M977" s="33"/>
      <c r="N977" s="33"/>
      <c r="U977" s="5"/>
    </row>
    <row r="978" spans="9:21" ht="15" x14ac:dyDescent="0.25">
      <c r="I978" s="44"/>
      <c r="K978" s="44"/>
      <c r="M978" s="33"/>
      <c r="N978" s="33"/>
      <c r="U978" s="5"/>
    </row>
    <row r="979" spans="9:21" ht="15" x14ac:dyDescent="0.25">
      <c r="I979" s="44"/>
      <c r="K979" s="44"/>
      <c r="M979" s="33"/>
      <c r="N979" s="33"/>
      <c r="U979" s="5"/>
    </row>
    <row r="980" spans="9:21" ht="15" x14ac:dyDescent="0.25">
      <c r="I980" s="44"/>
      <c r="K980" s="44"/>
      <c r="M980" s="33"/>
      <c r="N980" s="33"/>
      <c r="U980" s="5"/>
    </row>
    <row r="981" spans="9:21" ht="15" x14ac:dyDescent="0.25">
      <c r="I981" s="44"/>
      <c r="K981" s="44"/>
      <c r="M981" s="33"/>
      <c r="N981" s="33"/>
      <c r="U981" s="5"/>
    </row>
    <row r="982" spans="9:21" ht="15" x14ac:dyDescent="0.25">
      <c r="I982" s="44"/>
      <c r="K982" s="44"/>
      <c r="M982" s="33"/>
      <c r="N982" s="33"/>
      <c r="U982" s="5"/>
    </row>
    <row r="983" spans="9:21" ht="15" x14ac:dyDescent="0.25">
      <c r="I983" s="44"/>
      <c r="K983" s="44"/>
      <c r="M983" s="33"/>
      <c r="N983" s="33"/>
      <c r="U983" s="5"/>
    </row>
    <row r="984" spans="9:21" ht="15" x14ac:dyDescent="0.25">
      <c r="I984" s="44"/>
      <c r="K984" s="44"/>
      <c r="M984" s="33"/>
      <c r="N984" s="33"/>
      <c r="U984" s="5"/>
    </row>
    <row r="985" spans="9:21" ht="15" x14ac:dyDescent="0.25">
      <c r="I985" s="44"/>
      <c r="K985" s="44"/>
      <c r="M985" s="33"/>
      <c r="N985" s="33"/>
      <c r="U985" s="5"/>
    </row>
    <row r="986" spans="9:21" ht="15" x14ac:dyDescent="0.25">
      <c r="I986" s="44"/>
      <c r="K986" s="44"/>
      <c r="M986" s="33"/>
      <c r="N986" s="33"/>
      <c r="U986" s="5"/>
    </row>
    <row r="987" spans="9:21" ht="15" x14ac:dyDescent="0.25">
      <c r="I987" s="44"/>
      <c r="K987" s="44"/>
      <c r="M987" s="33"/>
      <c r="N987" s="33"/>
      <c r="U987" s="5"/>
    </row>
    <row r="988" spans="9:21" ht="15" x14ac:dyDescent="0.25">
      <c r="I988" s="44"/>
      <c r="K988" s="44"/>
      <c r="M988" s="33"/>
      <c r="N988" s="33"/>
      <c r="U988" s="5"/>
    </row>
    <row r="989" spans="9:21" ht="15" x14ac:dyDescent="0.25">
      <c r="I989" s="44"/>
      <c r="K989" s="44"/>
      <c r="M989" s="33"/>
      <c r="N989" s="33"/>
      <c r="U989" s="5"/>
    </row>
    <row r="990" spans="9:21" ht="15" x14ac:dyDescent="0.25">
      <c r="I990" s="44"/>
      <c r="K990" s="44"/>
      <c r="M990" s="33"/>
      <c r="N990" s="33"/>
      <c r="U990" s="5"/>
    </row>
    <row r="991" spans="9:21" ht="15" x14ac:dyDescent="0.25">
      <c r="I991" s="44"/>
      <c r="K991" s="44"/>
      <c r="M991" s="33"/>
      <c r="N991" s="33"/>
      <c r="U991" s="5"/>
    </row>
    <row r="992" spans="9:21" ht="15" x14ac:dyDescent="0.25">
      <c r="I992" s="44"/>
      <c r="K992" s="44"/>
      <c r="M992" s="33"/>
      <c r="N992" s="33"/>
      <c r="U992" s="5"/>
    </row>
    <row r="993" spans="9:21" ht="15" x14ac:dyDescent="0.25">
      <c r="I993" s="44"/>
      <c r="K993" s="44"/>
      <c r="M993" s="33"/>
      <c r="N993" s="33"/>
      <c r="U993" s="5"/>
    </row>
    <row r="994" spans="9:21" ht="15" x14ac:dyDescent="0.25">
      <c r="I994" s="44"/>
      <c r="K994" s="44"/>
      <c r="M994" s="33"/>
      <c r="N994" s="33"/>
      <c r="U994" s="5"/>
    </row>
    <row r="995" spans="9:21" ht="15" x14ac:dyDescent="0.25">
      <c r="I995" s="44"/>
      <c r="K995" s="44"/>
      <c r="M995" s="33"/>
      <c r="N995" s="33"/>
      <c r="U995" s="5"/>
    </row>
    <row r="996" spans="9:21" ht="15" x14ac:dyDescent="0.25">
      <c r="I996" s="44"/>
      <c r="K996" s="44"/>
      <c r="M996" s="33"/>
      <c r="N996" s="33"/>
      <c r="U996" s="5"/>
    </row>
    <row r="997" spans="9:21" ht="15" x14ac:dyDescent="0.25">
      <c r="I997" s="44"/>
      <c r="K997" s="44"/>
      <c r="M997" s="33"/>
      <c r="N997" s="33"/>
      <c r="U997" s="5"/>
    </row>
    <row r="998" spans="9:21" ht="15" x14ac:dyDescent="0.25">
      <c r="I998" s="44"/>
      <c r="K998" s="44"/>
      <c r="M998" s="33"/>
      <c r="N998" s="33"/>
      <c r="U998" s="5"/>
    </row>
    <row r="999" spans="9:21" ht="15" x14ac:dyDescent="0.25">
      <c r="I999" s="44"/>
      <c r="K999" s="44"/>
      <c r="M999" s="33"/>
      <c r="N999" s="33"/>
      <c r="U999" s="5"/>
    </row>
    <row r="1000" spans="9:21" ht="15" x14ac:dyDescent="0.25">
      <c r="I1000" s="44"/>
      <c r="K1000" s="44"/>
      <c r="M1000" s="33"/>
      <c r="N1000" s="33"/>
      <c r="U1000" s="5"/>
    </row>
    <row r="1001" spans="9:21" ht="15" x14ac:dyDescent="0.25">
      <c r="I1001" s="44"/>
      <c r="K1001" s="44"/>
      <c r="M1001" s="33"/>
      <c r="N1001" s="33"/>
      <c r="U1001" s="5"/>
    </row>
    <row r="1002" spans="9:21" ht="15" x14ac:dyDescent="0.25">
      <c r="I1002" s="44"/>
      <c r="K1002" s="44"/>
      <c r="M1002" s="33"/>
      <c r="N1002" s="33"/>
      <c r="U1002" s="5"/>
    </row>
    <row r="1003" spans="9:21" ht="15" x14ac:dyDescent="0.25">
      <c r="I1003" s="44"/>
      <c r="K1003" s="44"/>
      <c r="M1003" s="33"/>
      <c r="N1003" s="33"/>
      <c r="U1003" s="5"/>
    </row>
    <row r="1004" spans="9:21" ht="15" x14ac:dyDescent="0.25">
      <c r="I1004" s="44"/>
      <c r="K1004" s="44"/>
      <c r="M1004" s="33"/>
      <c r="N1004" s="33"/>
      <c r="U1004" s="5"/>
    </row>
    <row r="1005" spans="9:21" ht="15" x14ac:dyDescent="0.25">
      <c r="I1005" s="44"/>
      <c r="K1005" s="44"/>
      <c r="M1005" s="33"/>
      <c r="N1005" s="33"/>
      <c r="U1005" s="5"/>
    </row>
    <row r="1006" spans="9:21" ht="15" x14ac:dyDescent="0.25">
      <c r="I1006" s="44"/>
      <c r="K1006" s="44"/>
      <c r="M1006" s="33"/>
      <c r="N1006" s="33"/>
      <c r="U1006" s="5"/>
    </row>
    <row r="1007" spans="9:21" ht="15" x14ac:dyDescent="0.25">
      <c r="I1007" s="44"/>
      <c r="K1007" s="44"/>
      <c r="M1007" s="33"/>
      <c r="N1007" s="33"/>
      <c r="U1007" s="5"/>
    </row>
    <row r="1008" spans="9:21" ht="15" x14ac:dyDescent="0.25">
      <c r="I1008" s="44"/>
      <c r="K1008" s="44"/>
      <c r="M1008" s="33"/>
      <c r="N1008" s="33"/>
      <c r="U1008" s="5"/>
    </row>
  </sheetData>
  <autoFilter ref="A6:AB40" xr:uid="{00000000-0009-0000-0000-000000000000}"/>
  <mergeCells count="34">
    <mergeCell ref="B30:C30"/>
    <mergeCell ref="B31:C31"/>
    <mergeCell ref="B27:D27"/>
    <mergeCell ref="B28:D28"/>
    <mergeCell ref="B29:E29"/>
    <mergeCell ref="D30:E30"/>
    <mergeCell ref="D31:E31"/>
    <mergeCell ref="B25:D25"/>
    <mergeCell ref="B26:D26"/>
    <mergeCell ref="B20:D20"/>
    <mergeCell ref="B21:D21"/>
    <mergeCell ref="B22:D22"/>
    <mergeCell ref="B23:D23"/>
    <mergeCell ref="B24:D24"/>
    <mergeCell ref="B19:E19"/>
    <mergeCell ref="B15:D15"/>
    <mergeCell ref="B16:D16"/>
    <mergeCell ref="B17:D17"/>
    <mergeCell ref="B18:D18"/>
    <mergeCell ref="B10:D10"/>
    <mergeCell ref="B11:D11"/>
    <mergeCell ref="B12:D12"/>
    <mergeCell ref="B13:D13"/>
    <mergeCell ref="B14:D14"/>
    <mergeCell ref="K4:K5"/>
    <mergeCell ref="B6:E6"/>
    <mergeCell ref="B7:D7"/>
    <mergeCell ref="B8:D8"/>
    <mergeCell ref="B9:D9"/>
    <mergeCell ref="B2:D2"/>
    <mergeCell ref="B3:D3"/>
    <mergeCell ref="B4:E5"/>
    <mergeCell ref="G4:G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Copia de BALANCE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PRESIDENCIA</cp:lastModifiedBy>
  <dcterms:modified xsi:type="dcterms:W3CDTF">2026-10-03T14:09:17Z</dcterms:modified>
</cp:coreProperties>
</file>